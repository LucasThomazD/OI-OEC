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asduarte\source\repos\Orçamento_Industrial\windowsFormOI\bin\Debug\"/>
    </mc:Choice>
  </mc:AlternateContent>
  <xr:revisionPtr revIDLastSave="0" documentId="13_ncr:1_{A27F585B-5852-4971-B231-109BCE4F94F1}" xr6:coauthVersionLast="47" xr6:coauthVersionMax="47" xr10:uidLastSave="{00000000-0000-0000-0000-000000000000}"/>
  <bookViews>
    <workbookView xWindow="-21720" yWindow="-120" windowWidth="21840" windowHeight="13140" xr2:uid="{00000000-000D-0000-FFFF-FFFF00000000}"/>
  </bookViews>
  <sheets>
    <sheet name="temp" sheetId="7" r:id="rId1"/>
    <sheet name="Home" sheetId="1" r:id="rId2"/>
    <sheet name="Glossario" sheetId="2" r:id="rId3"/>
    <sheet name="referencia" sheetId="6" r:id="rId4"/>
  </sheets>
  <functionGroups builtInGroupCount="19"/>
  <externalReferences>
    <externalReference r:id="rId5"/>
  </externalReferences>
  <definedNames>
    <definedName name="_xlnm._FilterDatabase" localSheetId="2" hidden="1">Glossario!$B$3:$C$675</definedName>
    <definedName name="_xleta.IF" hidden="1" xlm="1">#NAME?</definedName>
    <definedName name="_xleta.T" hidden="1" xlm="1">#NAME?</definedName>
    <definedName name="_xlnm.Print_Area" localSheetId="2">Glossario!$B$2:$C$675</definedName>
    <definedName name="Disciplinas">Glossario!$J$4:$J$6</definedName>
    <definedName name="estado">Glossario!$H$4:$H$5</definedName>
    <definedName name="serv">Glossario!$E$4:$E$17</definedName>
    <definedName name="Serviço">[1]Planilha3!$A$6:$A$33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89" i="7" l="1"/>
  <c r="AV88" i="7"/>
  <c r="AV87" i="7"/>
  <c r="AV86" i="7"/>
  <c r="AV85" i="7"/>
  <c r="AV84" i="7"/>
  <c r="AV83" i="7"/>
  <c r="AV82" i="7"/>
  <c r="AV81" i="7"/>
  <c r="AV80" i="7"/>
  <c r="AV79" i="7"/>
  <c r="AV78" i="7"/>
  <c r="AV77" i="7"/>
  <c r="AV76" i="7"/>
  <c r="AV75" i="7"/>
  <c r="AV74" i="7"/>
  <c r="AV73" i="7"/>
  <c r="AV72" i="7"/>
  <c r="AV71" i="7"/>
  <c r="AV70" i="7"/>
  <c r="AV69" i="7"/>
  <c r="AV68" i="7"/>
  <c r="AV67" i="7"/>
  <c r="AV66" i="7"/>
  <c r="AV65" i="7"/>
  <c r="AV64" i="7"/>
  <c r="AV63" i="7"/>
  <c r="AV62" i="7"/>
  <c r="AV61" i="7"/>
  <c r="AV60" i="7"/>
  <c r="AV59" i="7"/>
  <c r="AV58" i="7"/>
  <c r="AV57" i="7"/>
  <c r="AV56" i="7"/>
  <c r="AV55" i="7"/>
  <c r="AV54" i="7"/>
  <c r="AV53" i="7"/>
  <c r="AV52" i="7"/>
  <c r="AV51" i="7"/>
  <c r="AV50" i="7"/>
  <c r="AV49" i="7"/>
  <c r="AV48" i="7"/>
  <c r="AV47" i="7"/>
  <c r="AV46" i="7"/>
  <c r="AV45" i="7"/>
  <c r="AV44" i="7"/>
  <c r="AV43" i="7"/>
  <c r="AV42" i="7"/>
  <c r="AV41" i="7"/>
  <c r="AV40" i="7"/>
  <c r="AV39" i="7"/>
  <c r="AV38" i="7"/>
  <c r="AV37" i="7"/>
  <c r="AV36" i="7"/>
  <c r="AV35" i="7"/>
  <c r="AV34" i="7"/>
  <c r="AV33" i="7"/>
  <c r="AV32" i="7"/>
  <c r="AV31" i="7"/>
  <c r="AV30" i="7"/>
  <c r="AV29" i="7"/>
  <c r="AV28" i="7"/>
  <c r="AV27" i="7"/>
  <c r="AV26" i="7"/>
  <c r="AV25" i="7"/>
  <c r="AV24" i="7"/>
  <c r="AV23" i="7"/>
  <c r="AV22" i="7"/>
  <c r="AV21" i="7"/>
  <c r="AV20" i="7"/>
  <c r="AV19" i="7"/>
  <c r="AV18" i="7"/>
  <c r="AV17" i="7"/>
  <c r="AV16" i="7"/>
  <c r="AV15" i="7"/>
  <c r="AV14" i="7"/>
  <c r="AV13" i="7"/>
  <c r="AV12" i="7"/>
  <c r="AV11" i="7"/>
  <c r="AV10" i="7"/>
  <c r="AV9" i="7"/>
  <c r="AV8" i="7"/>
  <c r="AV7" i="7"/>
  <c r="AV6" i="7"/>
  <c r="AV2" i="7"/>
  <c r="AV3" i="7"/>
  <c r="AV4" i="7"/>
  <c r="AV5" i="7"/>
  <c r="AX2" i="7"/>
  <c r="AX3" i="7"/>
  <c r="AX5" i="7"/>
  <c r="AX6" i="7"/>
  <c r="AX7" i="7"/>
  <c r="AX8" i="7"/>
  <c r="AX9" i="7"/>
  <c r="AX10" i="7"/>
  <c r="AX11" i="7"/>
  <c r="AX12" i="7"/>
  <c r="AX13" i="7"/>
  <c r="AX14" i="7"/>
  <c r="AX15" i="7"/>
  <c r="AX16" i="7"/>
  <c r="AX17" i="7"/>
  <c r="AX18" i="7"/>
  <c r="AX19" i="7"/>
  <c r="AX20" i="7"/>
  <c r="AX21" i="7"/>
  <c r="AX22" i="7"/>
  <c r="AX23" i="7"/>
  <c r="AX24" i="7"/>
  <c r="AX25" i="7"/>
  <c r="AX26" i="7"/>
  <c r="AX27" i="7"/>
  <c r="AX28" i="7"/>
  <c r="AX29" i="7"/>
  <c r="AX30" i="7"/>
  <c r="AX31" i="7"/>
  <c r="AX32" i="7"/>
  <c r="AX33" i="7"/>
  <c r="AX34" i="7"/>
  <c r="AX35" i="7"/>
  <c r="AX36" i="7"/>
  <c r="AX37" i="7"/>
  <c r="AX38" i="7"/>
  <c r="AX39" i="7"/>
  <c r="AX40" i="7"/>
  <c r="AX41" i="7"/>
  <c r="AX42" i="7"/>
  <c r="AX43" i="7"/>
  <c r="AX44" i="7"/>
  <c r="AX45" i="7"/>
  <c r="AX46" i="7"/>
  <c r="AX47" i="7"/>
  <c r="AX48" i="7"/>
  <c r="AX49" i="7"/>
  <c r="AX50" i="7"/>
  <c r="AX51" i="7"/>
  <c r="AX52" i="7"/>
  <c r="AX53" i="7"/>
  <c r="AX54" i="7"/>
  <c r="AX55" i="7"/>
  <c r="AX56" i="7"/>
  <c r="AX57" i="7"/>
  <c r="AX58" i="7"/>
  <c r="AX59" i="7"/>
  <c r="AX60" i="7"/>
  <c r="AX61" i="7"/>
  <c r="AX62" i="7"/>
  <c r="AX63" i="7"/>
  <c r="AX64" i="7"/>
  <c r="AX65" i="7"/>
  <c r="AX66" i="7"/>
  <c r="AX67" i="7"/>
  <c r="AX68" i="7"/>
  <c r="AX69" i="7"/>
  <c r="AX70" i="7"/>
  <c r="AX71" i="7"/>
  <c r="AX72" i="7"/>
  <c r="AX73" i="7"/>
  <c r="AX74" i="7"/>
  <c r="AX75" i="7"/>
  <c r="AX76" i="7"/>
  <c r="AX77" i="7"/>
  <c r="AX78" i="7"/>
  <c r="AX79" i="7"/>
  <c r="AX80" i="7"/>
  <c r="AX81" i="7"/>
  <c r="AX82" i="7"/>
  <c r="AX83" i="7"/>
  <c r="AX84" i="7"/>
  <c r="AX85" i="7"/>
  <c r="AX86" i="7"/>
  <c r="AX87" i="7"/>
  <c r="AX88" i="7"/>
  <c r="AX89" i="7"/>
  <c r="AX4" i="7"/>
  <c r="AN2" i="7"/>
  <c r="AN89" i="7"/>
  <c r="AN88" i="7"/>
  <c r="AN87" i="7"/>
  <c r="AN86" i="7"/>
  <c r="AN85" i="7"/>
  <c r="AN84" i="7"/>
  <c r="AN83" i="7"/>
  <c r="AN82" i="7"/>
  <c r="AN81" i="7"/>
  <c r="AN80" i="7"/>
  <c r="AN79" i="7"/>
  <c r="AN78" i="7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N63" i="7"/>
  <c r="AN62" i="7"/>
  <c r="AN61" i="7"/>
  <c r="AN60" i="7"/>
  <c r="AN59" i="7"/>
  <c r="AN58" i="7"/>
  <c r="AN57" i="7"/>
  <c r="AN56" i="7"/>
  <c r="AN55" i="7"/>
  <c r="AN54" i="7"/>
  <c r="AN53" i="7"/>
  <c r="AN52" i="7"/>
  <c r="AN51" i="7"/>
  <c r="AN50" i="7"/>
  <c r="AN49" i="7"/>
  <c r="AN48" i="7"/>
  <c r="AN47" i="7"/>
  <c r="AN46" i="7"/>
  <c r="AN45" i="7"/>
  <c r="AN44" i="7"/>
  <c r="AN43" i="7"/>
  <c r="AN42" i="7"/>
  <c r="AN41" i="7"/>
  <c r="AN40" i="7"/>
  <c r="AN39" i="7"/>
  <c r="AN38" i="7"/>
  <c r="AN37" i="7"/>
  <c r="AN36" i="7"/>
  <c r="AN35" i="7"/>
  <c r="AN34" i="7"/>
  <c r="AN33" i="7"/>
  <c r="AN32" i="7"/>
  <c r="AN31" i="7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N13" i="7"/>
  <c r="AN12" i="7"/>
  <c r="AN11" i="7"/>
  <c r="AN10" i="7"/>
  <c r="AN9" i="7"/>
  <c r="AN8" i="7"/>
  <c r="AN7" i="7"/>
  <c r="AN6" i="7"/>
  <c r="AN5" i="7"/>
  <c r="AN4" i="7"/>
  <c r="AN3" i="7"/>
  <c r="AR2" i="7"/>
  <c r="AR3" i="7"/>
  <c r="AR4" i="7"/>
  <c r="AR5" i="7"/>
  <c r="AR6" i="7"/>
  <c r="AR7" i="7"/>
  <c r="AR8" i="7"/>
  <c r="AR9" i="7"/>
  <c r="AR10" i="7"/>
  <c r="AR11" i="7"/>
  <c r="AR12" i="7"/>
  <c r="AR13" i="7"/>
  <c r="AR14" i="7"/>
  <c r="AR15" i="7"/>
  <c r="AR16" i="7"/>
  <c r="AR17" i="7"/>
  <c r="AR18" i="7"/>
  <c r="AR19" i="7"/>
  <c r="AR20" i="7"/>
  <c r="AR21" i="7"/>
  <c r="AR22" i="7"/>
  <c r="AR23" i="7"/>
  <c r="AR46" i="7"/>
  <c r="AR47" i="7"/>
  <c r="AR48" i="7"/>
  <c r="AR49" i="7"/>
  <c r="AR50" i="7"/>
  <c r="AR51" i="7"/>
  <c r="AR52" i="7"/>
  <c r="AR53" i="7"/>
  <c r="AR54" i="7"/>
  <c r="AR55" i="7"/>
  <c r="AR56" i="7"/>
  <c r="AR57" i="7"/>
  <c r="AR58" i="7"/>
  <c r="AR59" i="7"/>
  <c r="AR60" i="7"/>
  <c r="AR61" i="7"/>
  <c r="AR62" i="7"/>
  <c r="AR63" i="7"/>
  <c r="AR64" i="7"/>
  <c r="AR65" i="7"/>
  <c r="AR66" i="7"/>
  <c r="AR67" i="7"/>
  <c r="AR68" i="7"/>
  <c r="AR69" i="7"/>
  <c r="AR70" i="7"/>
  <c r="AR71" i="7"/>
  <c r="AR72" i="7"/>
  <c r="AR73" i="7"/>
  <c r="AR74" i="7"/>
  <c r="AR75" i="7"/>
  <c r="AR76" i="7"/>
  <c r="AR77" i="7"/>
  <c r="AR78" i="7"/>
  <c r="AR79" i="7"/>
  <c r="AR80" i="7"/>
  <c r="AR81" i="7"/>
  <c r="AR82" i="7"/>
  <c r="AR83" i="7"/>
  <c r="AR84" i="7"/>
  <c r="AR85" i="7"/>
  <c r="AR86" i="7"/>
  <c r="AR87" i="7"/>
  <c r="AR88" i="7"/>
  <c r="AR89" i="7"/>
  <c r="AQ2" i="7"/>
  <c r="AQ3" i="7"/>
  <c r="AQ4" i="7"/>
  <c r="AQ5" i="7"/>
  <c r="AQ6" i="7"/>
  <c r="AQ7" i="7"/>
  <c r="AQ8" i="7"/>
  <c r="AQ9" i="7"/>
  <c r="AQ10" i="7"/>
  <c r="AQ11" i="7"/>
  <c r="AQ12" i="7"/>
  <c r="AQ13" i="7"/>
  <c r="AQ14" i="7"/>
  <c r="AQ15" i="7"/>
  <c r="AQ16" i="7"/>
  <c r="AQ17" i="7"/>
  <c r="AQ18" i="7"/>
  <c r="AQ19" i="7"/>
  <c r="AQ20" i="7"/>
  <c r="AQ21" i="7"/>
  <c r="AQ22" i="7"/>
  <c r="AQ23" i="7"/>
  <c r="AQ46" i="7"/>
  <c r="AQ47" i="7"/>
  <c r="AQ48" i="7"/>
  <c r="AQ49" i="7"/>
  <c r="AQ50" i="7"/>
  <c r="AQ51" i="7"/>
  <c r="AQ52" i="7"/>
  <c r="AQ53" i="7"/>
  <c r="AQ54" i="7"/>
  <c r="AQ55" i="7"/>
  <c r="AQ56" i="7"/>
  <c r="AQ57" i="7"/>
  <c r="AQ58" i="7"/>
  <c r="AQ59" i="7"/>
  <c r="AQ60" i="7"/>
  <c r="AQ61" i="7"/>
  <c r="AQ62" i="7"/>
  <c r="AQ63" i="7"/>
  <c r="AQ64" i="7"/>
  <c r="AQ65" i="7"/>
  <c r="AQ66" i="7"/>
  <c r="AQ67" i="7"/>
  <c r="AQ68" i="7"/>
  <c r="AQ69" i="7"/>
  <c r="AQ70" i="7"/>
  <c r="AQ71" i="7"/>
  <c r="AQ72" i="7"/>
  <c r="AQ73" i="7"/>
  <c r="AQ74" i="7"/>
  <c r="AQ75" i="7"/>
  <c r="AQ76" i="7"/>
  <c r="AQ77" i="7"/>
  <c r="AQ78" i="7"/>
  <c r="AQ79" i="7"/>
  <c r="AQ80" i="7"/>
  <c r="AQ81" i="7"/>
  <c r="AQ82" i="7"/>
  <c r="AQ83" i="7"/>
  <c r="AQ84" i="7"/>
  <c r="AQ85" i="7"/>
  <c r="AQ86" i="7"/>
  <c r="AQ87" i="7"/>
  <c r="AQ88" i="7"/>
  <c r="AQ89" i="7"/>
  <c r="AP2" i="7"/>
  <c r="AP3" i="7"/>
  <c r="AP4" i="7"/>
  <c r="AP5" i="7"/>
  <c r="AP6" i="7"/>
  <c r="AP7" i="7"/>
  <c r="AP8" i="7"/>
  <c r="AP9" i="7"/>
  <c r="AP10" i="7"/>
  <c r="AP11" i="7"/>
  <c r="AP12" i="7"/>
  <c r="AP13" i="7"/>
  <c r="AP14" i="7"/>
  <c r="AP15" i="7"/>
  <c r="AP16" i="7"/>
  <c r="AP17" i="7"/>
  <c r="AP18" i="7"/>
  <c r="AP19" i="7"/>
  <c r="AP20" i="7"/>
  <c r="AP21" i="7"/>
  <c r="AP22" i="7"/>
  <c r="AP23" i="7"/>
  <c r="AP46" i="7"/>
  <c r="AP47" i="7"/>
  <c r="AP48" i="7"/>
  <c r="AP49" i="7"/>
  <c r="AP50" i="7"/>
  <c r="AP51" i="7"/>
  <c r="AP52" i="7"/>
  <c r="AP53" i="7"/>
  <c r="AP54" i="7"/>
  <c r="AP55" i="7"/>
  <c r="AP56" i="7"/>
  <c r="AP57" i="7"/>
  <c r="AP58" i="7"/>
  <c r="AP59" i="7"/>
  <c r="AP60" i="7"/>
  <c r="AP61" i="7"/>
  <c r="AP62" i="7"/>
  <c r="AP63" i="7"/>
  <c r="AP64" i="7"/>
  <c r="AP65" i="7"/>
  <c r="AP66" i="7"/>
  <c r="AP67" i="7"/>
  <c r="AP68" i="7"/>
  <c r="AP69" i="7"/>
  <c r="AP70" i="7"/>
  <c r="AP71" i="7"/>
  <c r="AP72" i="7"/>
  <c r="AP73" i="7"/>
  <c r="AP74" i="7"/>
  <c r="AP75" i="7"/>
  <c r="AP76" i="7"/>
  <c r="AP77" i="7"/>
  <c r="AP78" i="7"/>
  <c r="AP79" i="7"/>
  <c r="AP80" i="7"/>
  <c r="AP81" i="7"/>
  <c r="AP82" i="7"/>
  <c r="AP83" i="7"/>
  <c r="AP84" i="7"/>
  <c r="AP85" i="7"/>
  <c r="AP86" i="7"/>
  <c r="AP87" i="7"/>
  <c r="AP88" i="7"/>
  <c r="AP89" i="7"/>
  <c r="AO2" i="7"/>
  <c r="AO3" i="7"/>
  <c r="AO4" i="7"/>
  <c r="AO5" i="7"/>
  <c r="AO6" i="7"/>
  <c r="AO7" i="7"/>
  <c r="AO8" i="7"/>
  <c r="AO9" i="7"/>
  <c r="AO10" i="7"/>
  <c r="AO11" i="7"/>
  <c r="AO12" i="7"/>
  <c r="AO13" i="7"/>
  <c r="AO14" i="7"/>
  <c r="AO15" i="7"/>
  <c r="AO16" i="7"/>
  <c r="AO17" i="7"/>
  <c r="AO18" i="7"/>
  <c r="AO19" i="7"/>
  <c r="AO20" i="7"/>
  <c r="AO21" i="7"/>
  <c r="AO22" i="7"/>
  <c r="AO23" i="7"/>
  <c r="AO46" i="7"/>
  <c r="AO47" i="7"/>
  <c r="AO48" i="7"/>
  <c r="AO49" i="7"/>
  <c r="AO50" i="7"/>
  <c r="AO51" i="7"/>
  <c r="AO52" i="7"/>
  <c r="AO53" i="7"/>
  <c r="AO54" i="7"/>
  <c r="AO55" i="7"/>
  <c r="AO56" i="7"/>
  <c r="AO57" i="7"/>
  <c r="AO58" i="7"/>
  <c r="AO59" i="7"/>
  <c r="AO60" i="7"/>
  <c r="AO61" i="7"/>
  <c r="AO62" i="7"/>
  <c r="AO63" i="7"/>
  <c r="AO64" i="7"/>
  <c r="AO65" i="7"/>
  <c r="AO66" i="7"/>
  <c r="AO67" i="7"/>
  <c r="AO68" i="7"/>
  <c r="AO69" i="7"/>
  <c r="AO70" i="7"/>
  <c r="AO71" i="7"/>
  <c r="AO72" i="7"/>
  <c r="AO73" i="7"/>
  <c r="AO74" i="7"/>
  <c r="AO75" i="7"/>
  <c r="AO76" i="7"/>
  <c r="AO77" i="7"/>
  <c r="AO78" i="7"/>
  <c r="AO79" i="7"/>
  <c r="AO80" i="7"/>
  <c r="AO81" i="7"/>
  <c r="AO82" i="7"/>
  <c r="AO83" i="7"/>
  <c r="AO84" i="7"/>
  <c r="AO85" i="7"/>
  <c r="AO86" i="7"/>
  <c r="AO87" i="7"/>
  <c r="AO88" i="7"/>
  <c r="AO89" i="7"/>
  <c r="AJ2" i="7"/>
  <c r="AJ3" i="7"/>
  <c r="AJ4" i="7"/>
  <c r="AJ5" i="7"/>
  <c r="AJ6" i="7"/>
  <c r="AJ7" i="7"/>
  <c r="AJ8" i="7"/>
  <c r="AJ9" i="7"/>
  <c r="AJ10" i="7"/>
  <c r="AJ11" i="7"/>
  <c r="AJ12" i="7"/>
  <c r="AJ13" i="7"/>
  <c r="AJ14" i="7"/>
  <c r="AJ15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46" i="7"/>
  <c r="AJ47" i="7"/>
  <c r="AJ48" i="7"/>
  <c r="AJ49" i="7"/>
  <c r="AJ50" i="7"/>
  <c r="AJ51" i="7"/>
  <c r="AJ52" i="7"/>
  <c r="AJ53" i="7"/>
  <c r="AJ54" i="7"/>
  <c r="AJ55" i="7"/>
  <c r="AJ56" i="7"/>
  <c r="AJ57" i="7"/>
  <c r="AJ58" i="7"/>
  <c r="AJ59" i="7"/>
  <c r="AJ60" i="7"/>
  <c r="AJ61" i="7"/>
  <c r="AJ62" i="7"/>
  <c r="AJ63" i="7"/>
  <c r="AJ64" i="7"/>
  <c r="AJ65" i="7"/>
  <c r="AJ66" i="7"/>
  <c r="AJ67" i="7"/>
  <c r="AJ68" i="7"/>
  <c r="AJ69" i="7"/>
  <c r="AJ70" i="7"/>
  <c r="AJ71" i="7"/>
  <c r="AJ72" i="7"/>
  <c r="AJ73" i="7"/>
  <c r="AJ74" i="7"/>
  <c r="AJ75" i="7"/>
  <c r="AJ76" i="7"/>
  <c r="AJ77" i="7"/>
  <c r="AJ78" i="7"/>
  <c r="AJ79" i="7"/>
  <c r="AJ80" i="7"/>
  <c r="AJ81" i="7"/>
  <c r="AJ82" i="7"/>
  <c r="AJ83" i="7"/>
  <c r="AJ84" i="7"/>
  <c r="AJ85" i="7"/>
  <c r="AJ86" i="7"/>
  <c r="AJ87" i="7"/>
  <c r="AJ88" i="7"/>
  <c r="AJ89" i="7"/>
  <c r="AI2" i="7"/>
  <c r="AI3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6" i="7"/>
  <c r="AI57" i="7"/>
  <c r="AI58" i="7"/>
  <c r="AI59" i="7"/>
  <c r="AI60" i="7"/>
  <c r="AI61" i="7"/>
  <c r="AI62" i="7"/>
  <c r="AI63" i="7"/>
  <c r="AI64" i="7"/>
  <c r="AI65" i="7"/>
  <c r="AI66" i="7"/>
  <c r="AI67" i="7"/>
  <c r="AI68" i="7"/>
  <c r="AI69" i="7"/>
  <c r="AI70" i="7"/>
  <c r="AI71" i="7"/>
  <c r="AI72" i="7"/>
  <c r="AI73" i="7"/>
  <c r="AI74" i="7"/>
  <c r="AI75" i="7"/>
  <c r="AI76" i="7"/>
  <c r="AI77" i="7"/>
  <c r="AI78" i="7"/>
  <c r="AI79" i="7"/>
  <c r="AI80" i="7"/>
  <c r="AI81" i="7"/>
  <c r="AI82" i="7"/>
  <c r="AI83" i="7"/>
  <c r="AI84" i="7"/>
  <c r="AI85" i="7"/>
  <c r="AI86" i="7"/>
  <c r="AI87" i="7"/>
  <c r="AI88" i="7"/>
  <c r="AI89" i="7"/>
  <c r="AH24" i="7"/>
  <c r="AH25" i="7"/>
  <c r="AH26" i="7"/>
  <c r="AH27" i="7"/>
  <c r="AH28" i="7"/>
  <c r="AH29" i="7"/>
  <c r="AH30" i="7"/>
  <c r="AH31" i="7"/>
  <c r="AH32" i="7"/>
  <c r="AH33" i="7"/>
  <c r="AH34" i="7"/>
  <c r="AH35" i="7"/>
  <c r="AH36" i="7"/>
  <c r="AH37" i="7"/>
  <c r="AH38" i="7"/>
  <c r="AH39" i="7"/>
  <c r="AH40" i="7"/>
  <c r="AH41" i="7"/>
  <c r="AH42" i="7"/>
  <c r="AH43" i="7"/>
  <c r="AH44" i="7"/>
  <c r="AH45" i="7"/>
  <c r="AH46" i="7"/>
  <c r="AH47" i="7"/>
  <c r="AH48" i="7"/>
  <c r="AH49" i="7"/>
  <c r="AH50" i="7"/>
  <c r="AH51" i="7"/>
  <c r="AH52" i="7"/>
  <c r="AH53" i="7"/>
  <c r="AH54" i="7"/>
  <c r="AH55" i="7"/>
  <c r="AH56" i="7"/>
  <c r="AH57" i="7"/>
  <c r="AH58" i="7"/>
  <c r="AH59" i="7"/>
  <c r="AH60" i="7"/>
  <c r="AH61" i="7"/>
  <c r="AH62" i="7"/>
  <c r="AH63" i="7"/>
  <c r="AH64" i="7"/>
  <c r="AH65" i="7"/>
  <c r="AH66" i="7"/>
  <c r="AH67" i="7"/>
  <c r="AH68" i="7"/>
  <c r="AH69" i="7"/>
  <c r="AH70" i="7"/>
  <c r="AH71" i="7"/>
  <c r="AH72" i="7"/>
  <c r="AH73" i="7"/>
  <c r="AH74" i="7"/>
  <c r="AH75" i="7"/>
  <c r="AH76" i="7"/>
  <c r="AH77" i="7"/>
  <c r="AH78" i="7"/>
  <c r="AH79" i="7"/>
  <c r="AH80" i="7"/>
  <c r="AH81" i="7"/>
  <c r="AH82" i="7"/>
  <c r="AH83" i="7"/>
  <c r="AH84" i="7"/>
  <c r="AH85" i="7"/>
  <c r="AH86" i="7"/>
  <c r="AH87" i="7"/>
  <c r="AH88" i="7"/>
  <c r="AH89" i="7"/>
  <c r="AG2" i="7"/>
  <c r="AG3" i="7"/>
  <c r="AG4" i="7"/>
  <c r="AG5" i="7"/>
  <c r="AG6" i="7"/>
  <c r="AG7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21" i="7"/>
  <c r="AG22" i="7"/>
  <c r="AG23" i="7"/>
  <c r="AG24" i="7"/>
  <c r="AG25" i="7"/>
  <c r="AG26" i="7"/>
  <c r="AG27" i="7"/>
  <c r="AG28" i="7"/>
  <c r="AG29" i="7"/>
  <c r="AG30" i="7"/>
  <c r="AG31" i="7"/>
  <c r="AG32" i="7"/>
  <c r="AG33" i="7"/>
  <c r="AG34" i="7"/>
  <c r="AG35" i="7"/>
  <c r="AG36" i="7"/>
  <c r="AG37" i="7"/>
  <c r="AG38" i="7"/>
  <c r="AG39" i="7"/>
  <c r="AG40" i="7"/>
  <c r="AG41" i="7"/>
  <c r="AG42" i="7"/>
  <c r="AG43" i="7"/>
  <c r="AG44" i="7"/>
  <c r="AG45" i="7"/>
  <c r="AG46" i="7"/>
  <c r="AG47" i="7"/>
  <c r="AG48" i="7"/>
  <c r="AG49" i="7"/>
  <c r="AG50" i="7"/>
  <c r="AG51" i="7"/>
  <c r="AG52" i="7"/>
  <c r="AG53" i="7"/>
  <c r="AG54" i="7"/>
  <c r="AG55" i="7"/>
  <c r="AG56" i="7"/>
  <c r="AG57" i="7"/>
  <c r="AG58" i="7"/>
  <c r="AG59" i="7"/>
  <c r="AG60" i="7"/>
  <c r="AG61" i="7"/>
  <c r="AG62" i="7"/>
  <c r="AG63" i="7"/>
  <c r="AG64" i="7"/>
  <c r="AG65" i="7"/>
  <c r="AG66" i="7"/>
  <c r="AG67" i="7"/>
  <c r="AG68" i="7"/>
  <c r="AG69" i="7"/>
  <c r="AG70" i="7"/>
  <c r="AG71" i="7"/>
  <c r="AG72" i="7"/>
  <c r="AG73" i="7"/>
  <c r="AG74" i="7"/>
  <c r="AG75" i="7"/>
  <c r="AG76" i="7"/>
  <c r="AG77" i="7"/>
  <c r="AG78" i="7"/>
  <c r="AG79" i="7"/>
  <c r="AG80" i="7"/>
  <c r="AG81" i="7"/>
  <c r="AG82" i="7"/>
  <c r="AG83" i="7"/>
  <c r="AG84" i="7"/>
  <c r="AG85" i="7"/>
  <c r="AG86" i="7"/>
  <c r="AG87" i="7"/>
  <c r="AG88" i="7"/>
  <c r="AG89" i="7"/>
  <c r="AE24" i="7"/>
  <c r="AE25" i="7"/>
  <c r="AE26" i="7"/>
  <c r="AE27" i="7"/>
  <c r="AE28" i="7"/>
  <c r="AE29" i="7"/>
  <c r="AE30" i="7"/>
  <c r="AE31" i="7"/>
  <c r="AE32" i="7"/>
  <c r="AE33" i="7"/>
  <c r="AE34" i="7"/>
  <c r="AE35" i="7"/>
  <c r="AE36" i="7"/>
  <c r="AE37" i="7"/>
  <c r="AE38" i="7"/>
  <c r="AE39" i="7"/>
  <c r="AE40" i="7"/>
  <c r="AE41" i="7"/>
  <c r="AE42" i="7"/>
  <c r="AE43" i="7"/>
  <c r="AE44" i="7"/>
  <c r="AE45" i="7"/>
  <c r="AE46" i="7"/>
  <c r="AE47" i="7"/>
  <c r="AE48" i="7"/>
  <c r="AE49" i="7"/>
  <c r="AE50" i="7"/>
  <c r="AE51" i="7"/>
  <c r="AE52" i="7"/>
  <c r="AE53" i="7"/>
  <c r="AE54" i="7"/>
  <c r="AE55" i="7"/>
  <c r="AE56" i="7"/>
  <c r="AE57" i="7"/>
  <c r="AE58" i="7"/>
  <c r="AE59" i="7"/>
  <c r="AE60" i="7"/>
  <c r="AE61" i="7"/>
  <c r="AE62" i="7"/>
  <c r="AE63" i="7"/>
  <c r="AE64" i="7"/>
  <c r="AE65" i="7"/>
  <c r="AE66" i="7"/>
  <c r="AE67" i="7"/>
  <c r="AE68" i="7"/>
  <c r="AE69" i="7"/>
  <c r="AE70" i="7"/>
  <c r="AE71" i="7"/>
  <c r="AE72" i="7"/>
  <c r="AE73" i="7"/>
  <c r="AE74" i="7"/>
  <c r="AE75" i="7"/>
  <c r="AE76" i="7"/>
  <c r="AE77" i="7"/>
  <c r="AE78" i="7"/>
  <c r="AE79" i="7"/>
  <c r="AE80" i="7"/>
  <c r="AE81" i="7"/>
  <c r="AE82" i="7"/>
  <c r="AE83" i="7"/>
  <c r="AE84" i="7"/>
  <c r="AE85" i="7"/>
  <c r="AE86" i="7"/>
  <c r="AE87" i="7"/>
  <c r="AE88" i="7"/>
  <c r="AE89" i="7"/>
  <c r="AD2" i="7"/>
  <c r="AD3" i="7"/>
  <c r="AD4" i="7"/>
  <c r="AD5" i="7"/>
  <c r="AD6" i="7"/>
  <c r="AD7" i="7"/>
  <c r="AD8" i="7"/>
  <c r="AD9" i="7"/>
  <c r="AD10" i="7"/>
  <c r="AD11" i="7"/>
  <c r="AD12" i="7"/>
  <c r="AD13" i="7"/>
  <c r="AD14" i="7"/>
  <c r="AD15" i="7"/>
  <c r="AD16" i="7"/>
  <c r="AD17" i="7"/>
  <c r="AD18" i="7"/>
  <c r="AD19" i="7"/>
  <c r="AD20" i="7"/>
  <c r="AD21" i="7"/>
  <c r="AD22" i="7"/>
  <c r="AD23" i="7"/>
  <c r="AD24" i="7"/>
  <c r="AD25" i="7"/>
  <c r="AD26" i="7"/>
  <c r="AD27" i="7"/>
  <c r="AD28" i="7"/>
  <c r="AD29" i="7"/>
  <c r="AD30" i="7"/>
  <c r="AD31" i="7"/>
  <c r="AD32" i="7"/>
  <c r="AD33" i="7"/>
  <c r="AD34" i="7"/>
  <c r="AD35" i="7"/>
  <c r="AD36" i="7"/>
  <c r="AD37" i="7"/>
  <c r="AD38" i="7"/>
  <c r="AD39" i="7"/>
  <c r="AD40" i="7"/>
  <c r="AD41" i="7"/>
  <c r="AD42" i="7"/>
  <c r="AD43" i="7"/>
  <c r="AD44" i="7"/>
  <c r="AD45" i="7"/>
  <c r="AD46" i="7"/>
  <c r="AD47" i="7"/>
  <c r="AD48" i="7"/>
  <c r="AD49" i="7"/>
  <c r="AD50" i="7"/>
  <c r="AD51" i="7"/>
  <c r="AD52" i="7"/>
  <c r="AD53" i="7"/>
  <c r="AD54" i="7"/>
  <c r="AD55" i="7"/>
  <c r="AD56" i="7"/>
  <c r="AD57" i="7"/>
  <c r="AD58" i="7"/>
  <c r="AD59" i="7"/>
  <c r="AD60" i="7"/>
  <c r="AD61" i="7"/>
  <c r="AD62" i="7"/>
  <c r="AD63" i="7"/>
  <c r="AD64" i="7"/>
  <c r="AD65" i="7"/>
  <c r="AD66" i="7"/>
  <c r="AD67" i="7"/>
  <c r="AD68" i="7"/>
  <c r="AD69" i="7"/>
  <c r="AD70" i="7"/>
  <c r="AD71" i="7"/>
  <c r="AD72" i="7"/>
  <c r="AD73" i="7"/>
  <c r="AD74" i="7"/>
  <c r="AD75" i="7"/>
  <c r="AD76" i="7"/>
  <c r="AD77" i="7"/>
  <c r="AD78" i="7"/>
  <c r="AD79" i="7"/>
  <c r="AD80" i="7"/>
  <c r="AD81" i="7"/>
  <c r="AD82" i="7"/>
  <c r="AD83" i="7"/>
  <c r="AD84" i="7"/>
  <c r="AD85" i="7"/>
  <c r="AD86" i="7"/>
  <c r="AD87" i="7"/>
  <c r="AD88" i="7"/>
  <c r="AD89" i="7"/>
  <c r="AC2" i="7"/>
  <c r="AC26" i="7"/>
  <c r="AC58" i="7"/>
  <c r="AC66" i="7"/>
  <c r="AA2" i="7"/>
  <c r="AA3" i="7"/>
  <c r="AC3" i="7" s="1"/>
  <c r="AA4" i="7"/>
  <c r="AC4" i="7" s="1"/>
  <c r="AA5" i="7"/>
  <c r="AC5" i="7" s="1"/>
  <c r="AA6" i="7"/>
  <c r="AC6" i="7" s="1"/>
  <c r="AA7" i="7"/>
  <c r="AC7" i="7" s="1"/>
  <c r="AA8" i="7"/>
  <c r="AC8" i="7" s="1"/>
  <c r="AA9" i="7"/>
  <c r="AC9" i="7" s="1"/>
  <c r="AA10" i="7"/>
  <c r="AC10" i="7" s="1"/>
  <c r="AA11" i="7"/>
  <c r="AC11" i="7" s="1"/>
  <c r="AA12" i="7"/>
  <c r="AC12" i="7" s="1"/>
  <c r="AA13" i="7"/>
  <c r="AC13" i="7" s="1"/>
  <c r="AA14" i="7"/>
  <c r="AC14" i="7" s="1"/>
  <c r="AA15" i="7"/>
  <c r="AC15" i="7" s="1"/>
  <c r="AA16" i="7"/>
  <c r="AC16" i="7" s="1"/>
  <c r="AA17" i="7"/>
  <c r="AC17" i="7" s="1"/>
  <c r="AA18" i="7"/>
  <c r="AC18" i="7" s="1"/>
  <c r="AA19" i="7"/>
  <c r="AC19" i="7" s="1"/>
  <c r="AA20" i="7"/>
  <c r="AC20" i="7" s="1"/>
  <c r="AA21" i="7"/>
  <c r="AC21" i="7" s="1"/>
  <c r="AA22" i="7"/>
  <c r="AC22" i="7" s="1"/>
  <c r="AA23" i="7"/>
  <c r="AC23" i="7" s="1"/>
  <c r="AA24" i="7"/>
  <c r="AC24" i="7" s="1"/>
  <c r="AA25" i="7"/>
  <c r="AC25" i="7" s="1"/>
  <c r="AA26" i="7"/>
  <c r="AA27" i="7"/>
  <c r="AC27" i="7" s="1"/>
  <c r="AA28" i="7"/>
  <c r="AC28" i="7" s="1"/>
  <c r="AA29" i="7"/>
  <c r="AC29" i="7" s="1"/>
  <c r="AA30" i="7"/>
  <c r="AC30" i="7" s="1"/>
  <c r="AA31" i="7"/>
  <c r="AC31" i="7" s="1"/>
  <c r="AA32" i="7"/>
  <c r="AC32" i="7" s="1"/>
  <c r="AA33" i="7"/>
  <c r="AC33" i="7" s="1"/>
  <c r="AA34" i="7"/>
  <c r="AC34" i="7" s="1"/>
  <c r="AA35" i="7"/>
  <c r="AC35" i="7" s="1"/>
  <c r="AA36" i="7"/>
  <c r="AC36" i="7" s="1"/>
  <c r="AA37" i="7"/>
  <c r="AC37" i="7" s="1"/>
  <c r="AA38" i="7"/>
  <c r="AC38" i="7" s="1"/>
  <c r="AA39" i="7"/>
  <c r="AC39" i="7" s="1"/>
  <c r="AA40" i="7"/>
  <c r="AC40" i="7" s="1"/>
  <c r="AA41" i="7"/>
  <c r="AC41" i="7" s="1"/>
  <c r="AA42" i="7"/>
  <c r="AC42" i="7" s="1"/>
  <c r="AA43" i="7"/>
  <c r="AC43" i="7" s="1"/>
  <c r="AA44" i="7"/>
  <c r="AC44" i="7" s="1"/>
  <c r="AA45" i="7"/>
  <c r="AC45" i="7" s="1"/>
  <c r="AA46" i="7"/>
  <c r="AC46" i="7" s="1"/>
  <c r="AA47" i="7"/>
  <c r="AC47" i="7" s="1"/>
  <c r="AA48" i="7"/>
  <c r="AC48" i="7" s="1"/>
  <c r="AA49" i="7"/>
  <c r="AC49" i="7" s="1"/>
  <c r="AA50" i="7"/>
  <c r="AC50" i="7" s="1"/>
  <c r="AA51" i="7"/>
  <c r="AC51" i="7" s="1"/>
  <c r="AA52" i="7"/>
  <c r="AC52" i="7" s="1"/>
  <c r="AA53" i="7"/>
  <c r="AC53" i="7" s="1"/>
  <c r="AA54" i="7"/>
  <c r="AC54" i="7" s="1"/>
  <c r="AA55" i="7"/>
  <c r="AC55" i="7" s="1"/>
  <c r="AA56" i="7"/>
  <c r="AC56" i="7" s="1"/>
  <c r="AA57" i="7"/>
  <c r="AC57" i="7" s="1"/>
  <c r="AA58" i="7"/>
  <c r="AA59" i="7"/>
  <c r="AC59" i="7" s="1"/>
  <c r="AA60" i="7"/>
  <c r="AC60" i="7" s="1"/>
  <c r="AA61" i="7"/>
  <c r="AC61" i="7" s="1"/>
  <c r="AA62" i="7"/>
  <c r="AC62" i="7" s="1"/>
  <c r="AA63" i="7"/>
  <c r="AC63" i="7" s="1"/>
  <c r="AA64" i="7"/>
  <c r="AC64" i="7" s="1"/>
  <c r="AA65" i="7"/>
  <c r="AC65" i="7" s="1"/>
  <c r="AA66" i="7"/>
  <c r="AA67" i="7"/>
  <c r="AC67" i="7" s="1"/>
  <c r="AA68" i="7"/>
  <c r="AC68" i="7" s="1"/>
  <c r="AA69" i="7"/>
  <c r="AC69" i="7" s="1"/>
  <c r="AA70" i="7"/>
  <c r="AC70" i="7" s="1"/>
  <c r="AA71" i="7"/>
  <c r="AC71" i="7" s="1"/>
  <c r="AA72" i="7"/>
  <c r="AC72" i="7" s="1"/>
  <c r="AA73" i="7"/>
  <c r="AC73" i="7" s="1"/>
  <c r="AA74" i="7"/>
  <c r="AC74" i="7" s="1"/>
  <c r="AA75" i="7"/>
  <c r="AC75" i="7" s="1"/>
  <c r="AA76" i="7"/>
  <c r="AC76" i="7" s="1"/>
  <c r="AA77" i="7"/>
  <c r="AC77" i="7" s="1"/>
  <c r="AA78" i="7"/>
  <c r="AC78" i="7" s="1"/>
  <c r="AA79" i="7"/>
  <c r="AC79" i="7" s="1"/>
  <c r="AA80" i="7"/>
  <c r="AC80" i="7" s="1"/>
  <c r="AA81" i="7"/>
  <c r="AC81" i="7" s="1"/>
  <c r="AA82" i="7"/>
  <c r="AC82" i="7" s="1"/>
  <c r="AA83" i="7"/>
  <c r="AC83" i="7" s="1"/>
  <c r="AA84" i="7"/>
  <c r="AC84" i="7" s="1"/>
  <c r="AA85" i="7"/>
  <c r="AC85" i="7" s="1"/>
  <c r="AA86" i="7"/>
  <c r="AC86" i="7" s="1"/>
  <c r="AA87" i="7"/>
  <c r="AC87" i="7" s="1"/>
  <c r="AA88" i="7"/>
  <c r="AC88" i="7" s="1"/>
  <c r="AA89" i="7"/>
  <c r="AC89" i="7" s="1"/>
  <c r="Y2" i="7"/>
  <c r="Y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W2" i="7"/>
  <c r="AH2" i="7" s="1"/>
  <c r="W3" i="7"/>
  <c r="AH3" i="7" s="1"/>
  <c r="W4" i="7"/>
  <c r="AH4" i="7" s="1"/>
  <c r="W5" i="7"/>
  <c r="AH5" i="7" s="1"/>
  <c r="W6" i="7"/>
  <c r="AH6" i="7" s="1"/>
  <c r="W7" i="7"/>
  <c r="AH7" i="7" s="1"/>
  <c r="W8" i="7"/>
  <c r="AH8" i="7" s="1"/>
  <c r="W9" i="7"/>
  <c r="AH9" i="7" s="1"/>
  <c r="W10" i="7"/>
  <c r="AH10" i="7" s="1"/>
  <c r="W11" i="7"/>
  <c r="AH11" i="7" s="1"/>
  <c r="W12" i="7"/>
  <c r="AH12" i="7" s="1"/>
  <c r="W13" i="7"/>
  <c r="AH13" i="7" s="1"/>
  <c r="W14" i="7"/>
  <c r="AH14" i="7" s="1"/>
  <c r="W15" i="7"/>
  <c r="AH15" i="7" s="1"/>
  <c r="W16" i="7"/>
  <c r="AH16" i="7" s="1"/>
  <c r="W17" i="7"/>
  <c r="AH17" i="7" s="1"/>
  <c r="W18" i="7"/>
  <c r="AH18" i="7" s="1"/>
  <c r="W19" i="7"/>
  <c r="AH19" i="7" s="1"/>
  <c r="W20" i="7"/>
  <c r="AH20" i="7" s="1"/>
  <c r="W21" i="7"/>
  <c r="AH21" i="7" s="1"/>
  <c r="W22" i="7"/>
  <c r="AH22" i="7" s="1"/>
  <c r="W23" i="7"/>
  <c r="AH23" i="7" s="1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V2" i="7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7" i="7"/>
  <c r="V88" i="7"/>
  <c r="V89" i="7"/>
  <c r="F6" i="2"/>
  <c r="F7" i="2"/>
  <c r="F8" i="2"/>
  <c r="F9" i="2"/>
  <c r="F10" i="2"/>
  <c r="F11" i="2"/>
  <c r="F12" i="2"/>
  <c r="F13" i="2"/>
  <c r="F14" i="2"/>
  <c r="F15" i="2"/>
  <c r="F16" i="2"/>
  <c r="F17" i="2"/>
  <c r="AE8" i="7"/>
  <c r="AE16" i="7"/>
  <c r="AB8" i="7"/>
  <c r="AB16" i="7"/>
  <c r="AB24" i="7"/>
  <c r="AB32" i="7"/>
  <c r="AB40" i="7"/>
  <c r="AB48" i="7"/>
  <c r="AB56" i="7"/>
  <c r="AB64" i="7"/>
  <c r="AB72" i="7"/>
  <c r="AB80" i="7"/>
  <c r="AB88" i="7"/>
  <c r="AE9" i="7"/>
  <c r="AE17" i="7"/>
  <c r="AB9" i="7"/>
  <c r="AB17" i="7"/>
  <c r="AB25" i="7"/>
  <c r="AB33" i="7"/>
  <c r="AB41" i="7"/>
  <c r="AB49" i="7"/>
  <c r="AB57" i="7"/>
  <c r="AB65" i="7"/>
  <c r="AB73" i="7"/>
  <c r="AB81" i="7"/>
  <c r="AB89" i="7"/>
  <c r="U9" i="7"/>
  <c r="U17" i="7"/>
  <c r="U25" i="7"/>
  <c r="U33" i="7"/>
  <c r="U41" i="7"/>
  <c r="U49" i="7"/>
  <c r="U57" i="7"/>
  <c r="U65" i="7"/>
  <c r="U73" i="7"/>
  <c r="U81" i="7"/>
  <c r="AE3" i="7"/>
  <c r="AE11" i="7"/>
  <c r="AE19" i="7"/>
  <c r="AB3" i="7"/>
  <c r="AB11" i="7"/>
  <c r="AB19" i="7"/>
  <c r="AB27" i="7"/>
  <c r="AB35" i="7"/>
  <c r="AB43" i="7"/>
  <c r="AB51" i="7"/>
  <c r="AB59" i="7"/>
  <c r="AB67" i="7"/>
  <c r="AB75" i="7"/>
  <c r="AB83" i="7"/>
  <c r="U3" i="7"/>
  <c r="U11" i="7"/>
  <c r="U19" i="7"/>
  <c r="U27" i="7"/>
  <c r="U35" i="7"/>
  <c r="U43" i="7"/>
  <c r="U51" i="7"/>
  <c r="U59" i="7"/>
  <c r="U67" i="7"/>
  <c r="U75" i="7"/>
  <c r="U83" i="7"/>
  <c r="AE4" i="7"/>
  <c r="AE12" i="7"/>
  <c r="AE20" i="7"/>
  <c r="AB4" i="7"/>
  <c r="AB12" i="7"/>
  <c r="AB20" i="7"/>
  <c r="AB28" i="7"/>
  <c r="AB36" i="7"/>
  <c r="AB44" i="7"/>
  <c r="AB52" i="7"/>
  <c r="AB60" i="7"/>
  <c r="AB68" i="7"/>
  <c r="AB76" i="7"/>
  <c r="AB84" i="7"/>
  <c r="AE5" i="7"/>
  <c r="AE13" i="7"/>
  <c r="AE21" i="7"/>
  <c r="AB5" i="7"/>
  <c r="AB13" i="7"/>
  <c r="AB21" i="7"/>
  <c r="AB29" i="7"/>
  <c r="AB37" i="7"/>
  <c r="AB45" i="7"/>
  <c r="AB53" i="7"/>
  <c r="AB61" i="7"/>
  <c r="AB69" i="7"/>
  <c r="AB77" i="7"/>
  <c r="AB85" i="7"/>
  <c r="AE6" i="7"/>
  <c r="AE14" i="7"/>
  <c r="AE22" i="7"/>
  <c r="AB6" i="7"/>
  <c r="AB14" i="7"/>
  <c r="AB22" i="7"/>
  <c r="AB30" i="7"/>
  <c r="AB38" i="7"/>
  <c r="AB46" i="7"/>
  <c r="AB54" i="7"/>
  <c r="AB62" i="7"/>
  <c r="AB70" i="7"/>
  <c r="AB78" i="7"/>
  <c r="AB86" i="7"/>
  <c r="U6" i="7"/>
  <c r="U14" i="7"/>
  <c r="U22" i="7"/>
  <c r="AE7" i="7"/>
  <c r="AE15" i="7"/>
  <c r="AE23" i="7"/>
  <c r="AB7" i="7"/>
  <c r="AB15" i="7"/>
  <c r="AB23" i="7"/>
  <c r="AB31" i="7"/>
  <c r="AB39" i="7"/>
  <c r="AB47" i="7"/>
  <c r="AB55" i="7"/>
  <c r="AB63" i="7"/>
  <c r="AB71" i="7"/>
  <c r="AB79" i="7"/>
  <c r="AB87" i="7"/>
  <c r="U7" i="7"/>
  <c r="U15" i="7"/>
  <c r="U23" i="7"/>
  <c r="U31" i="7"/>
  <c r="U39" i="7"/>
  <c r="U47" i="7"/>
  <c r="U55" i="7"/>
  <c r="U63" i="7"/>
  <c r="U71" i="7"/>
  <c r="U79" i="7"/>
  <c r="U87" i="7"/>
  <c r="AB50" i="7"/>
  <c r="U8" i="7"/>
  <c r="U24" i="7"/>
  <c r="U37" i="7"/>
  <c r="U50" i="7"/>
  <c r="U62" i="7"/>
  <c r="U76" i="7"/>
  <c r="U88" i="7"/>
  <c r="N3" i="7"/>
  <c r="N11" i="7"/>
  <c r="N19" i="7"/>
  <c r="N27" i="7"/>
  <c r="N35" i="7"/>
  <c r="N43" i="7"/>
  <c r="N51" i="7"/>
  <c r="N59" i="7"/>
  <c r="N67" i="7"/>
  <c r="N75" i="7"/>
  <c r="N83" i="7"/>
  <c r="M3" i="7"/>
  <c r="M11" i="7"/>
  <c r="M19" i="7"/>
  <c r="M27" i="7"/>
  <c r="M35" i="7"/>
  <c r="M43" i="7"/>
  <c r="M51" i="7"/>
  <c r="M59" i="7"/>
  <c r="M67" i="7"/>
  <c r="M75" i="7"/>
  <c r="M83" i="7"/>
  <c r="N77" i="7"/>
  <c r="M13" i="7"/>
  <c r="M37" i="7"/>
  <c r="M61" i="7"/>
  <c r="M85" i="7"/>
  <c r="U34" i="7"/>
  <c r="AB58" i="7"/>
  <c r="U10" i="7"/>
  <c r="U26" i="7"/>
  <c r="U38" i="7"/>
  <c r="U52" i="7"/>
  <c r="U64" i="7"/>
  <c r="U77" i="7"/>
  <c r="U89" i="7"/>
  <c r="N4" i="7"/>
  <c r="N12" i="7"/>
  <c r="N20" i="7"/>
  <c r="N28" i="7"/>
  <c r="N36" i="7"/>
  <c r="N44" i="7"/>
  <c r="N52" i="7"/>
  <c r="N60" i="7"/>
  <c r="N68" i="7"/>
  <c r="N76" i="7"/>
  <c r="N84" i="7"/>
  <c r="M4" i="7"/>
  <c r="M12" i="7"/>
  <c r="M20" i="7"/>
  <c r="M28" i="7"/>
  <c r="M36" i="7"/>
  <c r="M44" i="7"/>
  <c r="M52" i="7"/>
  <c r="M60" i="7"/>
  <c r="M68" i="7"/>
  <c r="M76" i="7"/>
  <c r="M84" i="7"/>
  <c r="N13" i="7"/>
  <c r="N21" i="7"/>
  <c r="N37" i="7"/>
  <c r="N53" i="7"/>
  <c r="N69" i="7"/>
  <c r="M5" i="7"/>
  <c r="M29" i="7"/>
  <c r="M45" i="7"/>
  <c r="M69" i="7"/>
  <c r="U46" i="7"/>
  <c r="AE2" i="7"/>
  <c r="AB2" i="7"/>
  <c r="AB66" i="7"/>
  <c r="U12" i="7"/>
  <c r="U28" i="7"/>
  <c r="U40" i="7"/>
  <c r="U53" i="7"/>
  <c r="U66" i="7"/>
  <c r="U78" i="7"/>
  <c r="N5" i="7"/>
  <c r="N29" i="7"/>
  <c r="N45" i="7"/>
  <c r="N61" i="7"/>
  <c r="N85" i="7"/>
  <c r="M21" i="7"/>
  <c r="M53" i="7"/>
  <c r="M77" i="7"/>
  <c r="U20" i="7"/>
  <c r="AE10" i="7"/>
  <c r="AB10" i="7"/>
  <c r="AB74" i="7"/>
  <c r="U13" i="7"/>
  <c r="U29" i="7"/>
  <c r="U42" i="7"/>
  <c r="U54" i="7"/>
  <c r="U68" i="7"/>
  <c r="U80" i="7"/>
  <c r="N6" i="7"/>
  <c r="N14" i="7"/>
  <c r="N22" i="7"/>
  <c r="N30" i="7"/>
  <c r="N38" i="7"/>
  <c r="N46" i="7"/>
  <c r="N54" i="7"/>
  <c r="N62" i="7"/>
  <c r="N70" i="7"/>
  <c r="N78" i="7"/>
  <c r="N86" i="7"/>
  <c r="M6" i="7"/>
  <c r="M14" i="7"/>
  <c r="M22" i="7"/>
  <c r="M30" i="7"/>
  <c r="M38" i="7"/>
  <c r="M46" i="7"/>
  <c r="M54" i="7"/>
  <c r="M62" i="7"/>
  <c r="M70" i="7"/>
  <c r="M78" i="7"/>
  <c r="M86" i="7"/>
  <c r="U60" i="7"/>
  <c r="AE18" i="7"/>
  <c r="AB18" i="7"/>
  <c r="AB82" i="7"/>
  <c r="U16" i="7"/>
  <c r="U30" i="7"/>
  <c r="U44" i="7"/>
  <c r="U56" i="7"/>
  <c r="U69" i="7"/>
  <c r="U82" i="7"/>
  <c r="N7" i="7"/>
  <c r="N15" i="7"/>
  <c r="N23" i="7"/>
  <c r="N31" i="7"/>
  <c r="N39" i="7"/>
  <c r="N47" i="7"/>
  <c r="N55" i="7"/>
  <c r="N63" i="7"/>
  <c r="N71" i="7"/>
  <c r="N79" i="7"/>
  <c r="N87" i="7"/>
  <c r="M7" i="7"/>
  <c r="M15" i="7"/>
  <c r="M23" i="7"/>
  <c r="M31" i="7"/>
  <c r="M39" i="7"/>
  <c r="M47" i="7"/>
  <c r="M55" i="7"/>
  <c r="M63" i="7"/>
  <c r="M71" i="7"/>
  <c r="M79" i="7"/>
  <c r="M87" i="7"/>
  <c r="U4" i="7"/>
  <c r="U85" i="7"/>
  <c r="AB26" i="7"/>
  <c r="U2" i="7"/>
  <c r="U18" i="7"/>
  <c r="U32" i="7"/>
  <c r="U45" i="7"/>
  <c r="U58" i="7"/>
  <c r="U70" i="7"/>
  <c r="U84" i="7"/>
  <c r="N8" i="7"/>
  <c r="N16" i="7"/>
  <c r="N24" i="7"/>
  <c r="N32" i="7"/>
  <c r="N40" i="7"/>
  <c r="N48" i="7"/>
  <c r="N56" i="7"/>
  <c r="N64" i="7"/>
  <c r="N72" i="7"/>
  <c r="N80" i="7"/>
  <c r="N88" i="7"/>
  <c r="M8" i="7"/>
  <c r="M16" i="7"/>
  <c r="M24" i="7"/>
  <c r="M32" i="7"/>
  <c r="M40" i="7"/>
  <c r="M48" i="7"/>
  <c r="M56" i="7"/>
  <c r="M64" i="7"/>
  <c r="M72" i="7"/>
  <c r="M80" i="7"/>
  <c r="M88" i="7"/>
  <c r="AB34" i="7"/>
  <c r="U72" i="7"/>
  <c r="AB42" i="7"/>
  <c r="U5" i="7"/>
  <c r="U21" i="7"/>
  <c r="U36" i="7"/>
  <c r="U48" i="7"/>
  <c r="U61" i="7"/>
  <c r="U74" i="7"/>
  <c r="U86" i="7"/>
  <c r="N2" i="7"/>
  <c r="N10" i="7"/>
  <c r="N18" i="7"/>
  <c r="N26" i="7"/>
  <c r="N34" i="7"/>
  <c r="N42" i="7"/>
  <c r="N50" i="7"/>
  <c r="N33" i="7"/>
  <c r="N74" i="7"/>
  <c r="M18" i="7"/>
  <c r="M50" i="7"/>
  <c r="M82" i="7"/>
  <c r="N25" i="7"/>
  <c r="N41" i="7"/>
  <c r="N81" i="7"/>
  <c r="M25" i="7"/>
  <c r="M57" i="7"/>
  <c r="M89" i="7"/>
  <c r="N65" i="7"/>
  <c r="M49" i="7"/>
  <c r="N49" i="7"/>
  <c r="N82" i="7"/>
  <c r="M26" i="7"/>
  <c r="M58" i="7"/>
  <c r="M41" i="7"/>
  <c r="M17" i="7"/>
  <c r="N57" i="7"/>
  <c r="N89" i="7"/>
  <c r="M33" i="7"/>
  <c r="M65" i="7"/>
  <c r="M9" i="7"/>
  <c r="N58" i="7"/>
  <c r="M2" i="7"/>
  <c r="M34" i="7"/>
  <c r="M66" i="7"/>
  <c r="N9" i="7"/>
  <c r="M81" i="7"/>
  <c r="M73" i="7"/>
  <c r="N73" i="7"/>
  <c r="N17" i="7"/>
  <c r="N66" i="7"/>
  <c r="M10" i="7"/>
  <c r="M42" i="7"/>
  <c r="M74" i="7"/>
  <c r="O66" i="7" l="1"/>
  <c r="P66" i="7" s="1"/>
  <c r="Q66" i="7" s="1"/>
  <c r="O17" i="7"/>
  <c r="P17" i="7" s="1"/>
  <c r="Q17" i="7" s="1"/>
  <c r="O73" i="7"/>
  <c r="P73" i="7" s="1"/>
  <c r="Q73" i="7" s="1"/>
  <c r="O9" i="7"/>
  <c r="P9" i="7" s="1"/>
  <c r="Q9" i="7" s="1"/>
  <c r="O58" i="7"/>
  <c r="P58" i="7" s="1"/>
  <c r="Q58" i="7" s="1"/>
  <c r="O89" i="7"/>
  <c r="P89" i="7" s="1"/>
  <c r="Q89" i="7" s="1"/>
  <c r="O57" i="7"/>
  <c r="P57" i="7" s="1"/>
  <c r="Q57" i="7" s="1"/>
  <c r="O82" i="7"/>
  <c r="P82" i="7" s="1"/>
  <c r="Q82" i="7" s="1"/>
  <c r="O49" i="7"/>
  <c r="P49" i="7" s="1"/>
  <c r="Q49" i="7" s="1"/>
  <c r="O65" i="7"/>
  <c r="P65" i="7" s="1"/>
  <c r="Q65" i="7" s="1"/>
  <c r="O81" i="7"/>
  <c r="P81" i="7" s="1"/>
  <c r="Q81" i="7" s="1"/>
  <c r="O41" i="7"/>
  <c r="P41" i="7" s="1"/>
  <c r="Q41" i="7" s="1"/>
  <c r="O25" i="7"/>
  <c r="P25" i="7" s="1"/>
  <c r="Q25" i="7" s="1"/>
  <c r="O74" i="7"/>
  <c r="P74" i="7" s="1"/>
  <c r="Q74" i="7" s="1"/>
  <c r="O33" i="7"/>
  <c r="P33" i="7" s="1"/>
  <c r="Q33" i="7" s="1"/>
  <c r="O50" i="7"/>
  <c r="P50" i="7" s="1"/>
  <c r="Q50" i="7" s="1"/>
  <c r="O42" i="7"/>
  <c r="P42" i="7" s="1"/>
  <c r="Q42" i="7" s="1"/>
  <c r="O34" i="7"/>
  <c r="P34" i="7" s="1"/>
  <c r="Q34" i="7" s="1"/>
  <c r="O26" i="7"/>
  <c r="P26" i="7" s="1"/>
  <c r="Q26" i="7" s="1"/>
  <c r="O18" i="7"/>
  <c r="P18" i="7" s="1"/>
  <c r="Q18" i="7" s="1"/>
  <c r="O10" i="7"/>
  <c r="P10" i="7" s="1"/>
  <c r="Q10" i="7" s="1"/>
  <c r="O2" i="7"/>
  <c r="P2" i="7" s="1"/>
  <c r="Q2" i="7" s="1"/>
  <c r="AL42" i="7"/>
  <c r="AP42" i="7" s="1"/>
  <c r="AL34" i="7"/>
  <c r="AP34" i="7" s="1"/>
  <c r="O88" i="7"/>
  <c r="P88" i="7" s="1"/>
  <c r="Q88" i="7" s="1"/>
  <c r="O80" i="7"/>
  <c r="P80" i="7" s="1"/>
  <c r="Q80" i="7" s="1"/>
  <c r="O72" i="7"/>
  <c r="P72" i="7" s="1"/>
  <c r="Q72" i="7" s="1"/>
  <c r="O64" i="7"/>
  <c r="P64" i="7" s="1"/>
  <c r="Q64" i="7" s="1"/>
  <c r="O56" i="7"/>
  <c r="P56" i="7" s="1"/>
  <c r="Q56" i="7" s="1"/>
  <c r="O48" i="7"/>
  <c r="P48" i="7" s="1"/>
  <c r="Q48" i="7" s="1"/>
  <c r="O40" i="7"/>
  <c r="P40" i="7" s="1"/>
  <c r="Q40" i="7" s="1"/>
  <c r="O32" i="7"/>
  <c r="P32" i="7" s="1"/>
  <c r="Q32" i="7" s="1"/>
  <c r="O24" i="7"/>
  <c r="P24" i="7" s="1"/>
  <c r="Q24" i="7" s="1"/>
  <c r="O16" i="7"/>
  <c r="P16" i="7" s="1"/>
  <c r="Q16" i="7" s="1"/>
  <c r="O8" i="7"/>
  <c r="P8" i="7" s="1"/>
  <c r="Q8" i="7" s="1"/>
  <c r="AL26" i="7"/>
  <c r="AP26" i="7" s="1"/>
  <c r="O87" i="7"/>
  <c r="P87" i="7" s="1"/>
  <c r="Q87" i="7" s="1"/>
  <c r="O79" i="7"/>
  <c r="P79" i="7" s="1"/>
  <c r="Q79" i="7" s="1"/>
  <c r="O71" i="7"/>
  <c r="P71" i="7" s="1"/>
  <c r="Q71" i="7" s="1"/>
  <c r="O63" i="7"/>
  <c r="P63" i="7" s="1"/>
  <c r="Q63" i="7" s="1"/>
  <c r="O55" i="7"/>
  <c r="P55" i="7" s="1"/>
  <c r="Q55" i="7" s="1"/>
  <c r="O47" i="7"/>
  <c r="P47" i="7" s="1"/>
  <c r="Q47" i="7" s="1"/>
  <c r="O39" i="7"/>
  <c r="P39" i="7" s="1"/>
  <c r="Q39" i="7" s="1"/>
  <c r="O31" i="7"/>
  <c r="P31" i="7" s="1"/>
  <c r="Q31" i="7" s="1"/>
  <c r="O23" i="7"/>
  <c r="P23" i="7" s="1"/>
  <c r="Q23" i="7" s="1"/>
  <c r="O15" i="7"/>
  <c r="P15" i="7" s="1"/>
  <c r="Q15" i="7" s="1"/>
  <c r="O7" i="7"/>
  <c r="P7" i="7" s="1"/>
  <c r="Q7" i="7" s="1"/>
  <c r="AL82" i="7"/>
  <c r="AL18" i="7"/>
  <c r="AM18" i="7"/>
  <c r="O86" i="7"/>
  <c r="P86" i="7" s="1"/>
  <c r="Q86" i="7" s="1"/>
  <c r="O78" i="7"/>
  <c r="P78" i="7" s="1"/>
  <c r="Q78" i="7" s="1"/>
  <c r="O70" i="7"/>
  <c r="P70" i="7" s="1"/>
  <c r="Q70" i="7" s="1"/>
  <c r="O62" i="7"/>
  <c r="P62" i="7" s="1"/>
  <c r="Q62" i="7" s="1"/>
  <c r="O54" i="7"/>
  <c r="P54" i="7" s="1"/>
  <c r="Q54" i="7" s="1"/>
  <c r="O46" i="7"/>
  <c r="P46" i="7" s="1"/>
  <c r="Q46" i="7" s="1"/>
  <c r="O38" i="7"/>
  <c r="P38" i="7" s="1"/>
  <c r="Q38" i="7" s="1"/>
  <c r="O30" i="7"/>
  <c r="P30" i="7" s="1"/>
  <c r="Q30" i="7" s="1"/>
  <c r="O22" i="7"/>
  <c r="P22" i="7" s="1"/>
  <c r="Q22" i="7" s="1"/>
  <c r="O14" i="7"/>
  <c r="P14" i="7" s="1"/>
  <c r="Q14" i="7" s="1"/>
  <c r="O6" i="7"/>
  <c r="P6" i="7" s="1"/>
  <c r="Q6" i="7" s="1"/>
  <c r="AL74" i="7"/>
  <c r="AL10" i="7"/>
  <c r="AM10" i="7"/>
  <c r="O85" i="7"/>
  <c r="P85" i="7" s="1"/>
  <c r="Q85" i="7" s="1"/>
  <c r="O61" i="7"/>
  <c r="P61" i="7" s="1"/>
  <c r="Q61" i="7" s="1"/>
  <c r="O45" i="7"/>
  <c r="P45" i="7" s="1"/>
  <c r="Q45" i="7" s="1"/>
  <c r="O29" i="7"/>
  <c r="P29" i="7" s="1"/>
  <c r="Q29" i="7" s="1"/>
  <c r="O5" i="7"/>
  <c r="P5" i="7" s="1"/>
  <c r="Q5" i="7" s="1"/>
  <c r="AL66" i="7"/>
  <c r="AL2" i="7"/>
  <c r="AM2" i="7"/>
  <c r="O69" i="7"/>
  <c r="P69" i="7" s="1"/>
  <c r="Q69" i="7" s="1"/>
  <c r="O53" i="7"/>
  <c r="P53" i="7" s="1"/>
  <c r="Q53" i="7" s="1"/>
  <c r="O37" i="7"/>
  <c r="P37" i="7" s="1"/>
  <c r="Q37" i="7" s="1"/>
  <c r="O21" i="7"/>
  <c r="P21" i="7" s="1"/>
  <c r="Q21" i="7" s="1"/>
  <c r="O13" i="7"/>
  <c r="P13" i="7" s="1"/>
  <c r="Q13" i="7" s="1"/>
  <c r="O84" i="7"/>
  <c r="P84" i="7" s="1"/>
  <c r="Q84" i="7" s="1"/>
  <c r="O76" i="7"/>
  <c r="P76" i="7" s="1"/>
  <c r="Q76" i="7" s="1"/>
  <c r="O68" i="7"/>
  <c r="P68" i="7" s="1"/>
  <c r="Q68" i="7" s="1"/>
  <c r="O60" i="7"/>
  <c r="P60" i="7" s="1"/>
  <c r="Q60" i="7" s="1"/>
  <c r="O52" i="7"/>
  <c r="P52" i="7" s="1"/>
  <c r="Q52" i="7" s="1"/>
  <c r="O44" i="7"/>
  <c r="P44" i="7" s="1"/>
  <c r="Q44" i="7" s="1"/>
  <c r="O36" i="7"/>
  <c r="P36" i="7" s="1"/>
  <c r="Q36" i="7" s="1"/>
  <c r="O28" i="7"/>
  <c r="P28" i="7" s="1"/>
  <c r="Q28" i="7" s="1"/>
  <c r="O20" i="7"/>
  <c r="P20" i="7" s="1"/>
  <c r="Q20" i="7" s="1"/>
  <c r="O12" i="7"/>
  <c r="P12" i="7" s="1"/>
  <c r="Q12" i="7" s="1"/>
  <c r="O4" i="7"/>
  <c r="P4" i="7" s="1"/>
  <c r="Q4" i="7" s="1"/>
  <c r="AL58" i="7"/>
  <c r="O77" i="7"/>
  <c r="P77" i="7" s="1"/>
  <c r="Q77" i="7" s="1"/>
  <c r="O83" i="7"/>
  <c r="P83" i="7" s="1"/>
  <c r="Q83" i="7" s="1"/>
  <c r="O75" i="7"/>
  <c r="P75" i="7" s="1"/>
  <c r="Q75" i="7" s="1"/>
  <c r="O67" i="7"/>
  <c r="P67" i="7" s="1"/>
  <c r="Q67" i="7" s="1"/>
  <c r="O59" i="7"/>
  <c r="P59" i="7" s="1"/>
  <c r="Q59" i="7" s="1"/>
  <c r="O51" i="7"/>
  <c r="P51" i="7" s="1"/>
  <c r="Q51" i="7" s="1"/>
  <c r="O43" i="7"/>
  <c r="P43" i="7" s="1"/>
  <c r="Q43" i="7" s="1"/>
  <c r="O35" i="7"/>
  <c r="P35" i="7" s="1"/>
  <c r="Q35" i="7" s="1"/>
  <c r="O27" i="7"/>
  <c r="P27" i="7" s="1"/>
  <c r="Q27" i="7" s="1"/>
  <c r="O19" i="7"/>
  <c r="P19" i="7" s="1"/>
  <c r="Q19" i="7" s="1"/>
  <c r="O11" i="7"/>
  <c r="P11" i="7" s="1"/>
  <c r="Q11" i="7" s="1"/>
  <c r="O3" i="7"/>
  <c r="P3" i="7" s="1"/>
  <c r="Q3" i="7" s="1"/>
  <c r="AL50" i="7"/>
  <c r="AL87" i="7"/>
  <c r="AL79" i="7"/>
  <c r="AL71" i="7"/>
  <c r="AL63" i="7"/>
  <c r="AL55" i="7"/>
  <c r="AL47" i="7"/>
  <c r="AL39" i="7"/>
  <c r="AP39" i="7" s="1"/>
  <c r="AL31" i="7"/>
  <c r="AP31" i="7" s="1"/>
  <c r="AL23" i="7"/>
  <c r="AL15" i="7"/>
  <c r="AL7" i="7"/>
  <c r="AM23" i="7"/>
  <c r="AM15" i="7"/>
  <c r="AM7" i="7"/>
  <c r="AL86" i="7"/>
  <c r="AL78" i="7"/>
  <c r="AL70" i="7"/>
  <c r="AL62" i="7"/>
  <c r="AL54" i="7"/>
  <c r="AL46" i="7"/>
  <c r="AL38" i="7"/>
  <c r="AP38" i="7" s="1"/>
  <c r="AL30" i="7"/>
  <c r="AP30" i="7" s="1"/>
  <c r="AL22" i="7"/>
  <c r="AL14" i="7"/>
  <c r="AL6" i="7"/>
  <c r="AM22" i="7"/>
  <c r="AM14" i="7"/>
  <c r="AM6" i="7"/>
  <c r="AL85" i="7"/>
  <c r="AL77" i="7"/>
  <c r="AL69" i="7"/>
  <c r="AL61" i="7"/>
  <c r="AL53" i="7"/>
  <c r="AL45" i="7"/>
  <c r="AP45" i="7" s="1"/>
  <c r="AL37" i="7"/>
  <c r="AP37" i="7" s="1"/>
  <c r="AL29" i="7"/>
  <c r="AP29" i="7" s="1"/>
  <c r="AL21" i="7"/>
  <c r="AL13" i="7"/>
  <c r="AL5" i="7"/>
  <c r="AM21" i="7"/>
  <c r="AM13" i="7"/>
  <c r="AM5" i="7"/>
  <c r="AL84" i="7"/>
  <c r="AL76" i="7"/>
  <c r="AL68" i="7"/>
  <c r="AL60" i="7"/>
  <c r="AL52" i="7"/>
  <c r="AL44" i="7"/>
  <c r="AP44" i="7" s="1"/>
  <c r="AL36" i="7"/>
  <c r="AP36" i="7" s="1"/>
  <c r="AL28" i="7"/>
  <c r="AP28" i="7" s="1"/>
  <c r="AL20" i="7"/>
  <c r="AL12" i="7"/>
  <c r="AL4" i="7"/>
  <c r="AM20" i="7"/>
  <c r="AM12" i="7"/>
  <c r="AM4" i="7"/>
  <c r="AL83" i="7"/>
  <c r="AL75" i="7"/>
  <c r="AL67" i="7"/>
  <c r="AL59" i="7"/>
  <c r="AL51" i="7"/>
  <c r="AL43" i="7"/>
  <c r="AP43" i="7" s="1"/>
  <c r="AL35" i="7"/>
  <c r="AP35" i="7" s="1"/>
  <c r="AL27" i="7"/>
  <c r="AP27" i="7" s="1"/>
  <c r="AL19" i="7"/>
  <c r="AL11" i="7"/>
  <c r="AL3" i="7"/>
  <c r="AM19" i="7"/>
  <c r="AM11" i="7"/>
  <c r="AM3" i="7"/>
  <c r="AL89" i="7"/>
  <c r="AL81" i="7"/>
  <c r="AL73" i="7"/>
  <c r="AL65" i="7"/>
  <c r="AL57" i="7"/>
  <c r="AL49" i="7"/>
  <c r="AL41" i="7"/>
  <c r="AP41" i="7" s="1"/>
  <c r="AL33" i="7"/>
  <c r="AP33" i="7" s="1"/>
  <c r="AL25" i="7"/>
  <c r="AP25" i="7" s="1"/>
  <c r="AL17" i="7"/>
  <c r="AL9" i="7"/>
  <c r="AM17" i="7"/>
  <c r="AM9" i="7"/>
  <c r="AL88" i="7"/>
  <c r="AL80" i="7"/>
  <c r="AL72" i="7"/>
  <c r="AL64" i="7"/>
  <c r="AL56" i="7"/>
  <c r="AL48" i="7"/>
  <c r="AL40" i="7"/>
  <c r="AP40" i="7" s="1"/>
  <c r="AL32" i="7"/>
  <c r="AP32" i="7" s="1"/>
  <c r="AL24" i="7"/>
  <c r="AP24" i="7" s="1"/>
  <c r="AL16" i="7"/>
  <c r="AL8" i="7"/>
  <c r="AM16" i="7"/>
  <c r="AM8" i="7"/>
  <c r="AS42" i="7"/>
  <c r="AQ42" i="7"/>
  <c r="AO42" i="7"/>
  <c r="AM42" i="7"/>
  <c r="AK42" i="7"/>
  <c r="AR42" i="7" s="1"/>
  <c r="AS82" i="7"/>
  <c r="AM82" i="7"/>
  <c r="AK82" i="7"/>
  <c r="AS74" i="7"/>
  <c r="AM74" i="7"/>
  <c r="AK74" i="7"/>
  <c r="AS50" i="7"/>
  <c r="AM50" i="7"/>
  <c r="AK50" i="7"/>
  <c r="AS34" i="7"/>
  <c r="AQ34" i="7"/>
  <c r="AO34" i="7"/>
  <c r="AM34" i="7"/>
  <c r="AK34" i="7"/>
  <c r="AR34" i="7" s="1"/>
  <c r="AS18" i="7"/>
  <c r="AK18" i="7"/>
  <c r="AT18" i="7" s="1"/>
  <c r="AS10" i="7"/>
  <c r="AK10" i="7"/>
  <c r="AT10" i="7" s="1"/>
  <c r="AS84" i="7"/>
  <c r="AM84" i="7"/>
  <c r="AK84" i="7"/>
  <c r="AS76" i="7"/>
  <c r="AM76" i="7"/>
  <c r="AK76" i="7"/>
  <c r="AS68" i="7"/>
  <c r="AM68" i="7"/>
  <c r="AK68" i="7"/>
  <c r="AS60" i="7"/>
  <c r="AM60" i="7"/>
  <c r="AK60" i="7"/>
  <c r="AS52" i="7"/>
  <c r="AM52" i="7"/>
  <c r="AK52" i="7"/>
  <c r="AS44" i="7"/>
  <c r="AQ44" i="7"/>
  <c r="AO44" i="7"/>
  <c r="AM44" i="7"/>
  <c r="AK44" i="7"/>
  <c r="AR44" i="7" s="1"/>
  <c r="AS36" i="7"/>
  <c r="AQ36" i="7"/>
  <c r="AO36" i="7"/>
  <c r="AM36" i="7"/>
  <c r="AK36" i="7"/>
  <c r="AR36" i="7" s="1"/>
  <c r="AS28" i="7"/>
  <c r="AQ28" i="7"/>
  <c r="AO28" i="7"/>
  <c r="AM28" i="7"/>
  <c r="AK28" i="7"/>
  <c r="AR28" i="7" s="1"/>
  <c r="AS20" i="7"/>
  <c r="AK20" i="7"/>
  <c r="AT20" i="7" s="1"/>
  <c r="AS12" i="7"/>
  <c r="AK12" i="7"/>
  <c r="AT12" i="7" s="1"/>
  <c r="AS4" i="7"/>
  <c r="AK4" i="7"/>
  <c r="AT4" i="7" s="1"/>
  <c r="AS66" i="7"/>
  <c r="AM66" i="7"/>
  <c r="AK66" i="7"/>
  <c r="AS2" i="7"/>
  <c r="AK2" i="7"/>
  <c r="AT2" i="7" s="1"/>
  <c r="AT82" i="7"/>
  <c r="AT74" i="7"/>
  <c r="AT66" i="7"/>
  <c r="AT50" i="7"/>
  <c r="AT42" i="7"/>
  <c r="AT34" i="7"/>
  <c r="AS83" i="7"/>
  <c r="AM83" i="7"/>
  <c r="AK83" i="7"/>
  <c r="AS59" i="7"/>
  <c r="AM59" i="7"/>
  <c r="AK59" i="7"/>
  <c r="AS11" i="7"/>
  <c r="AK11" i="7"/>
  <c r="AT11" i="7" s="1"/>
  <c r="AS75" i="7"/>
  <c r="AM75" i="7"/>
  <c r="AK75" i="7"/>
  <c r="AS51" i="7"/>
  <c r="AM51" i="7"/>
  <c r="AK51" i="7"/>
  <c r="AS19" i="7"/>
  <c r="AK19" i="7"/>
  <c r="AT19" i="7" s="1"/>
  <c r="AS3" i="7"/>
  <c r="AK3" i="7"/>
  <c r="AT3" i="7" s="1"/>
  <c r="AS89" i="7"/>
  <c r="AM89" i="7"/>
  <c r="AK89" i="7"/>
  <c r="AT89" i="7" s="1"/>
  <c r="AS81" i="7"/>
  <c r="AM81" i="7"/>
  <c r="AK81" i="7"/>
  <c r="AS73" i="7"/>
  <c r="AM73" i="7"/>
  <c r="AK73" i="7"/>
  <c r="AS65" i="7"/>
  <c r="AM65" i="7"/>
  <c r="AK65" i="7"/>
  <c r="AS57" i="7"/>
  <c r="AM57" i="7"/>
  <c r="AK57" i="7"/>
  <c r="AT57" i="7" s="1"/>
  <c r="AS49" i="7"/>
  <c r="AK49" i="7"/>
  <c r="AT49" i="7" s="1"/>
  <c r="AM49" i="7"/>
  <c r="AS41" i="7"/>
  <c r="AQ41" i="7"/>
  <c r="AO41" i="7"/>
  <c r="AK41" i="7"/>
  <c r="AR41" i="7" s="1"/>
  <c r="AM41" i="7"/>
  <c r="AS33" i="7"/>
  <c r="AQ33" i="7"/>
  <c r="AO33" i="7"/>
  <c r="AK33" i="7"/>
  <c r="AM33" i="7"/>
  <c r="AS25" i="7"/>
  <c r="AQ25" i="7"/>
  <c r="AO25" i="7"/>
  <c r="AM25" i="7"/>
  <c r="AK25" i="7"/>
  <c r="AR25" i="7" s="1"/>
  <c r="AS17" i="7"/>
  <c r="AK17" i="7"/>
  <c r="AT17" i="7" s="1"/>
  <c r="AS9" i="7"/>
  <c r="AK9" i="7"/>
  <c r="AT9" i="7" s="1"/>
  <c r="AS27" i="7"/>
  <c r="AQ27" i="7"/>
  <c r="AO27" i="7"/>
  <c r="AM27" i="7"/>
  <c r="AK27" i="7"/>
  <c r="AR27" i="7" s="1"/>
  <c r="AS88" i="7"/>
  <c r="AM88" i="7"/>
  <c r="AK88" i="7"/>
  <c r="AS80" i="7"/>
  <c r="AM80" i="7"/>
  <c r="AK80" i="7"/>
  <c r="AS72" i="7"/>
  <c r="AM72" i="7"/>
  <c r="AK72" i="7"/>
  <c r="AS64" i="7"/>
  <c r="AM64" i="7"/>
  <c r="AK64" i="7"/>
  <c r="AS56" i="7"/>
  <c r="AM56" i="7"/>
  <c r="AK56" i="7"/>
  <c r="AS48" i="7"/>
  <c r="AM48" i="7"/>
  <c r="AK48" i="7"/>
  <c r="AS40" i="7"/>
  <c r="AQ40" i="7"/>
  <c r="AO40" i="7"/>
  <c r="AM40" i="7"/>
  <c r="AK40" i="7"/>
  <c r="AR40" i="7" s="1"/>
  <c r="AS32" i="7"/>
  <c r="AQ32" i="7"/>
  <c r="AO32" i="7"/>
  <c r="AM32" i="7"/>
  <c r="AK32" i="7"/>
  <c r="AR32" i="7" s="1"/>
  <c r="AS24" i="7"/>
  <c r="AQ24" i="7"/>
  <c r="AO24" i="7"/>
  <c r="AM24" i="7"/>
  <c r="AK24" i="7"/>
  <c r="AS16" i="7"/>
  <c r="AK16" i="7"/>
  <c r="AT16" i="7" s="1"/>
  <c r="AS8" i="7"/>
  <c r="AK8" i="7"/>
  <c r="AT8" i="7" s="1"/>
  <c r="AS67" i="7"/>
  <c r="AM67" i="7"/>
  <c r="AK67" i="7"/>
  <c r="AS58" i="7"/>
  <c r="AM58" i="7"/>
  <c r="AK58" i="7"/>
  <c r="AS87" i="7"/>
  <c r="AM87" i="7"/>
  <c r="AK87" i="7"/>
  <c r="AS79" i="7"/>
  <c r="AM79" i="7"/>
  <c r="AK79" i="7"/>
  <c r="AS71" i="7"/>
  <c r="AM71" i="7"/>
  <c r="AK71" i="7"/>
  <c r="AS63" i="7"/>
  <c r="AM63" i="7"/>
  <c r="AK63" i="7"/>
  <c r="AS55" i="7"/>
  <c r="AM55" i="7"/>
  <c r="AK55" i="7"/>
  <c r="AS47" i="7"/>
  <c r="AM47" i="7"/>
  <c r="AK47" i="7"/>
  <c r="AS39" i="7"/>
  <c r="AQ39" i="7"/>
  <c r="AO39" i="7"/>
  <c r="AM39" i="7"/>
  <c r="AK39" i="7"/>
  <c r="AS31" i="7"/>
  <c r="AQ31" i="7"/>
  <c r="AO31" i="7"/>
  <c r="AM31" i="7"/>
  <c r="AK31" i="7"/>
  <c r="AR31" i="7" s="1"/>
  <c r="AS23" i="7"/>
  <c r="AK23" i="7"/>
  <c r="AT23" i="7" s="1"/>
  <c r="AS15" i="7"/>
  <c r="AK15" i="7"/>
  <c r="AT15" i="7" s="1"/>
  <c r="AS7" i="7"/>
  <c r="AK7" i="7"/>
  <c r="AT7" i="7" s="1"/>
  <c r="AS26" i="7"/>
  <c r="AQ26" i="7"/>
  <c r="AO26" i="7"/>
  <c r="AM26" i="7"/>
  <c r="AK26" i="7"/>
  <c r="AS43" i="7"/>
  <c r="AQ43" i="7"/>
  <c r="AO43" i="7"/>
  <c r="AM43" i="7"/>
  <c r="AK43" i="7"/>
  <c r="AR43" i="7" s="1"/>
  <c r="AS86" i="7"/>
  <c r="AM86" i="7"/>
  <c r="AK86" i="7"/>
  <c r="AS78" i="7"/>
  <c r="AM78" i="7"/>
  <c r="AK78" i="7"/>
  <c r="AS70" i="7"/>
  <c r="AM70" i="7"/>
  <c r="AK70" i="7"/>
  <c r="AS62" i="7"/>
  <c r="AM62" i="7"/>
  <c r="AK62" i="7"/>
  <c r="AS54" i="7"/>
  <c r="AM54" i="7"/>
  <c r="AK54" i="7"/>
  <c r="AS46" i="7"/>
  <c r="AM46" i="7"/>
  <c r="AK46" i="7"/>
  <c r="AS38" i="7"/>
  <c r="AQ38" i="7"/>
  <c r="AO38" i="7"/>
  <c r="AM38" i="7"/>
  <c r="AK38" i="7"/>
  <c r="AR38" i="7" s="1"/>
  <c r="AS30" i="7"/>
  <c r="AQ30" i="7"/>
  <c r="AO30" i="7"/>
  <c r="AM30" i="7"/>
  <c r="AK30" i="7"/>
  <c r="AR30" i="7" s="1"/>
  <c r="AS22" i="7"/>
  <c r="AK22" i="7"/>
  <c r="AT22" i="7" s="1"/>
  <c r="AS14" i="7"/>
  <c r="AK14" i="7"/>
  <c r="AT14" i="7" s="1"/>
  <c r="AS6" i="7"/>
  <c r="AK6" i="7"/>
  <c r="AT6" i="7" s="1"/>
  <c r="AS35" i="7"/>
  <c r="AQ35" i="7"/>
  <c r="AO35" i="7"/>
  <c r="AM35" i="7"/>
  <c r="AK35" i="7"/>
  <c r="AR35" i="7" s="1"/>
  <c r="AS85" i="7"/>
  <c r="AM85" i="7"/>
  <c r="AK85" i="7"/>
  <c r="AT85" i="7" s="1"/>
  <c r="AS77" i="7"/>
  <c r="AM77" i="7"/>
  <c r="AK77" i="7"/>
  <c r="AS69" i="7"/>
  <c r="AM69" i="7"/>
  <c r="AK69" i="7"/>
  <c r="AS61" i="7"/>
  <c r="AM61" i="7"/>
  <c r="AK61" i="7"/>
  <c r="AS53" i="7"/>
  <c r="AM53" i="7"/>
  <c r="AK53" i="7"/>
  <c r="AS45" i="7"/>
  <c r="AQ45" i="7"/>
  <c r="AO45" i="7"/>
  <c r="AK45" i="7"/>
  <c r="AR45" i="7" s="1"/>
  <c r="AM45" i="7"/>
  <c r="AS37" i="7"/>
  <c r="AQ37" i="7"/>
  <c r="AO37" i="7"/>
  <c r="AM37" i="7"/>
  <c r="AK37" i="7"/>
  <c r="AS29" i="7"/>
  <c r="AQ29" i="7"/>
  <c r="AO29" i="7"/>
  <c r="AM29" i="7"/>
  <c r="AK29" i="7"/>
  <c r="AR29" i="7" s="1"/>
  <c r="AS21" i="7"/>
  <c r="AK21" i="7"/>
  <c r="AT21" i="7" s="1"/>
  <c r="AS13" i="7"/>
  <c r="AK13" i="7"/>
  <c r="AT13" i="7" s="1"/>
  <c r="AS5" i="7"/>
  <c r="AK5" i="7"/>
  <c r="AT5" i="7" s="1"/>
  <c r="AT87" i="7"/>
  <c r="AT79" i="7"/>
  <c r="AT71" i="7"/>
  <c r="AT63" i="7"/>
  <c r="AT55" i="7"/>
  <c r="AT47" i="7"/>
  <c r="AT31" i="7"/>
  <c r="AT86" i="7"/>
  <c r="AT78" i="7"/>
  <c r="AT70" i="7"/>
  <c r="AT62" i="7"/>
  <c r="AT54" i="7"/>
  <c r="AT46" i="7"/>
  <c r="AT38" i="7"/>
  <c r="AT30" i="7"/>
  <c r="AT77" i="7"/>
  <c r="AT69" i="7"/>
  <c r="AT61" i="7"/>
  <c r="AT53" i="7"/>
  <c r="AT84" i="7"/>
  <c r="AT76" i="7"/>
  <c r="AT68" i="7"/>
  <c r="AT60" i="7"/>
  <c r="AT52" i="7"/>
  <c r="AT44" i="7"/>
  <c r="AT36" i="7"/>
  <c r="AT28" i="7"/>
  <c r="AT83" i="7"/>
  <c r="AT75" i="7"/>
  <c r="AT67" i="7"/>
  <c r="AT59" i="7"/>
  <c r="AT51" i="7"/>
  <c r="AT43" i="7"/>
  <c r="AT35" i="7"/>
  <c r="AT27" i="7"/>
  <c r="AT73" i="7"/>
  <c r="AT65" i="7"/>
  <c r="AT41" i="7"/>
  <c r="AT81" i="7"/>
  <c r="AT25" i="7"/>
  <c r="AT88" i="7"/>
  <c r="AT80" i="7"/>
  <c r="AT72" i="7"/>
  <c r="AT64" i="7"/>
  <c r="AT56" i="7"/>
  <c r="AT48" i="7"/>
  <c r="AT40" i="7"/>
  <c r="AT32" i="7"/>
  <c r="S2" i="7"/>
  <c r="T2" i="7"/>
  <c r="S3" i="7"/>
  <c r="S4" i="7"/>
  <c r="T3" i="7"/>
  <c r="T4" i="7"/>
  <c r="S5" i="7"/>
  <c r="S6" i="7"/>
  <c r="T5" i="7"/>
  <c r="T6" i="7"/>
  <c r="S7" i="7"/>
  <c r="S8" i="7"/>
  <c r="T7" i="7"/>
  <c r="S9" i="7"/>
  <c r="T8" i="7"/>
  <c r="T9" i="7"/>
  <c r="S10" i="7"/>
  <c r="T10" i="7"/>
  <c r="S11" i="7"/>
  <c r="S12" i="7"/>
  <c r="T11" i="7"/>
  <c r="S13" i="7"/>
  <c r="T12" i="7"/>
  <c r="S14" i="7"/>
  <c r="T13" i="7"/>
  <c r="T14" i="7"/>
  <c r="S15" i="7"/>
  <c r="S16" i="7"/>
  <c r="T15" i="7"/>
  <c r="S17" i="7"/>
  <c r="T16" i="7"/>
  <c r="T17" i="7"/>
  <c r="S18" i="7"/>
  <c r="T18" i="7"/>
  <c r="S19" i="7"/>
  <c r="S20" i="7"/>
  <c r="T19" i="7"/>
  <c r="T20" i="7"/>
  <c r="S21" i="7"/>
  <c r="S22" i="7"/>
  <c r="T21" i="7"/>
  <c r="T22" i="7"/>
  <c r="S23" i="7"/>
  <c r="S24" i="7"/>
  <c r="T23" i="7"/>
  <c r="S25" i="7"/>
  <c r="T24" i="7"/>
  <c r="T25" i="7"/>
  <c r="S26" i="7"/>
  <c r="T26" i="7"/>
  <c r="S27" i="7"/>
  <c r="S28" i="7"/>
  <c r="T27" i="7"/>
  <c r="T28" i="7"/>
  <c r="S29" i="7"/>
  <c r="T29" i="7"/>
  <c r="S30" i="7"/>
  <c r="T30" i="7"/>
  <c r="S31" i="7"/>
  <c r="S32" i="7"/>
  <c r="T31" i="7"/>
  <c r="S33" i="7"/>
  <c r="T32" i="7"/>
  <c r="S34" i="7"/>
  <c r="T33" i="7"/>
  <c r="T34" i="7"/>
  <c r="S35" i="7"/>
  <c r="S36" i="7"/>
  <c r="T35" i="7"/>
  <c r="S37" i="7"/>
  <c r="T36" i="7"/>
  <c r="S38" i="7"/>
  <c r="T37" i="7"/>
  <c r="T38" i="7"/>
  <c r="S39" i="7"/>
  <c r="S40" i="7"/>
  <c r="T39" i="7"/>
  <c r="T40" i="7"/>
  <c r="S41" i="7"/>
  <c r="T41" i="7"/>
  <c r="S42" i="7"/>
  <c r="T42" i="7"/>
  <c r="S43" i="7"/>
  <c r="S44" i="7"/>
  <c r="T43" i="7"/>
  <c r="S45" i="7"/>
  <c r="T44" i="7"/>
  <c r="S46" i="7"/>
  <c r="T45" i="7"/>
  <c r="T46" i="7"/>
  <c r="S47" i="7"/>
  <c r="S48" i="7"/>
  <c r="T47" i="7"/>
  <c r="S49" i="7"/>
  <c r="T48" i="7"/>
  <c r="T49" i="7"/>
  <c r="S50" i="7"/>
  <c r="T50" i="7"/>
  <c r="S51" i="7"/>
  <c r="S52" i="7"/>
  <c r="T51" i="7"/>
  <c r="T52" i="7"/>
  <c r="S53" i="7"/>
  <c r="S54" i="7"/>
  <c r="T53" i="7"/>
  <c r="T54" i="7"/>
  <c r="S55" i="7"/>
  <c r="S56" i="7"/>
  <c r="T55" i="7"/>
  <c r="S57" i="7"/>
  <c r="T56" i="7"/>
  <c r="T57" i="7"/>
  <c r="S58" i="7"/>
  <c r="T58" i="7"/>
  <c r="S59" i="7"/>
  <c r="S60" i="7"/>
  <c r="T59" i="7"/>
  <c r="T60" i="7"/>
  <c r="S61" i="7"/>
  <c r="T61" i="7"/>
  <c r="S62" i="7"/>
  <c r="T62" i="7"/>
  <c r="S63" i="7"/>
  <c r="S64" i="7"/>
  <c r="T63" i="7"/>
  <c r="S65" i="7"/>
  <c r="T64" i="7"/>
  <c r="S66" i="7"/>
  <c r="T65" i="7"/>
  <c r="T66" i="7"/>
  <c r="S67" i="7"/>
  <c r="S68" i="7"/>
  <c r="T67" i="7"/>
  <c r="S69" i="7"/>
  <c r="T68" i="7"/>
  <c r="S70" i="7"/>
  <c r="T69" i="7"/>
  <c r="T70" i="7"/>
  <c r="S71" i="7"/>
  <c r="S72" i="7"/>
  <c r="T71" i="7"/>
  <c r="T72" i="7"/>
  <c r="S73" i="7"/>
  <c r="T73" i="7"/>
  <c r="S74" i="7"/>
  <c r="T74" i="7"/>
  <c r="S75" i="7"/>
  <c r="S76" i="7"/>
  <c r="T75" i="7"/>
  <c r="S77" i="7"/>
  <c r="T76" i="7"/>
  <c r="S78" i="7"/>
  <c r="T77" i="7"/>
  <c r="T78" i="7"/>
  <c r="S79" i="7"/>
  <c r="S80" i="7"/>
  <c r="T79" i="7"/>
  <c r="S81" i="7"/>
  <c r="T80" i="7"/>
  <c r="T81" i="7"/>
  <c r="S82" i="7"/>
  <c r="T82" i="7"/>
  <c r="S83" i="7"/>
  <c r="S84" i="7"/>
  <c r="T83" i="7"/>
  <c r="T84" i="7"/>
  <c r="S85" i="7"/>
  <c r="S86" i="7"/>
  <c r="T85" i="7"/>
  <c r="T86" i="7"/>
  <c r="S87" i="7"/>
  <c r="S88" i="7"/>
  <c r="T87" i="7"/>
  <c r="S89" i="7"/>
  <c r="T89" i="7" s="1"/>
  <c r="T88" i="7"/>
  <c r="AW32" i="7" l="1"/>
  <c r="AU32" i="7"/>
  <c r="AW80" i="7"/>
  <c r="AU80" i="7"/>
  <c r="AW27" i="7"/>
  <c r="AU27" i="7"/>
  <c r="AW68" i="7"/>
  <c r="AU68" i="7"/>
  <c r="AW61" i="7"/>
  <c r="AU61" i="7"/>
  <c r="AW47" i="7"/>
  <c r="AU47" i="7"/>
  <c r="AW85" i="7"/>
  <c r="AU85" i="7"/>
  <c r="AW75" i="7"/>
  <c r="AU75" i="7"/>
  <c r="AW76" i="7"/>
  <c r="AU76" i="7"/>
  <c r="AW28" i="7"/>
  <c r="AU28" i="7"/>
  <c r="AW42" i="7"/>
  <c r="AU42" i="7"/>
  <c r="AW88" i="7"/>
  <c r="AU88" i="7"/>
  <c r="AW70" i="7"/>
  <c r="AU70" i="7"/>
  <c r="AW48" i="7"/>
  <c r="AU48" i="7"/>
  <c r="AW81" i="7"/>
  <c r="AU81" i="7"/>
  <c r="AW36" i="7"/>
  <c r="AU36" i="7"/>
  <c r="AW78" i="7"/>
  <c r="AU78" i="7"/>
  <c r="AW89" i="7"/>
  <c r="AU89" i="7"/>
  <c r="AT24" i="7"/>
  <c r="AW69" i="7"/>
  <c r="AU69" i="7"/>
  <c r="AW44" i="7"/>
  <c r="AU44" i="7"/>
  <c r="AW86" i="7"/>
  <c r="AU86" i="7"/>
  <c r="AW71" i="7"/>
  <c r="AU71" i="7"/>
  <c r="AW35" i="7"/>
  <c r="AU35" i="7"/>
  <c r="AW43" i="7"/>
  <c r="AU43" i="7"/>
  <c r="AW64" i="7"/>
  <c r="AU64" i="7"/>
  <c r="AW38" i="7"/>
  <c r="AU38" i="7"/>
  <c r="AW49" i="7"/>
  <c r="AU49" i="7"/>
  <c r="AW55" i="7"/>
  <c r="AU55" i="7"/>
  <c r="AW25" i="7"/>
  <c r="AU25" i="7"/>
  <c r="AW56" i="7"/>
  <c r="AU56" i="7"/>
  <c r="AW59" i="7"/>
  <c r="AU59" i="7"/>
  <c r="AW79" i="7"/>
  <c r="AU79" i="7"/>
  <c r="AW67" i="7"/>
  <c r="AU67" i="7"/>
  <c r="AW46" i="7"/>
  <c r="AU46" i="7"/>
  <c r="AW87" i="7"/>
  <c r="AU87" i="7"/>
  <c r="AW60" i="7"/>
  <c r="AU60" i="7"/>
  <c r="AW54" i="7"/>
  <c r="AU54" i="7"/>
  <c r="AT39" i="7"/>
  <c r="AW57" i="7"/>
  <c r="AU57" i="7"/>
  <c r="AW74" i="7"/>
  <c r="AU74" i="7"/>
  <c r="AW40" i="7"/>
  <c r="AU40" i="7"/>
  <c r="AW52" i="7"/>
  <c r="AU52" i="7"/>
  <c r="AW30" i="7"/>
  <c r="AU30" i="7"/>
  <c r="AR37" i="7"/>
  <c r="AT37" i="7" s="1"/>
  <c r="AW23" i="7"/>
  <c r="AU23" i="7"/>
  <c r="AR24" i="7"/>
  <c r="AW21" i="7"/>
  <c r="AU21" i="7"/>
  <c r="AW14" i="7"/>
  <c r="AU14" i="7"/>
  <c r="AW17" i="7"/>
  <c r="AU17" i="7"/>
  <c r="AR33" i="7"/>
  <c r="AW19" i="7"/>
  <c r="AU19" i="7"/>
  <c r="AW50" i="7"/>
  <c r="AU50" i="7"/>
  <c r="AW82" i="7"/>
  <c r="AU82" i="7"/>
  <c r="AW12" i="7"/>
  <c r="AU12" i="7"/>
  <c r="AW65" i="7"/>
  <c r="AU65" i="7"/>
  <c r="AW11" i="7"/>
  <c r="AU11" i="7"/>
  <c r="AT26" i="7"/>
  <c r="AT58" i="7"/>
  <c r="AW2" i="7"/>
  <c r="AU2" i="7"/>
  <c r="AW77" i="7"/>
  <c r="AU77" i="7"/>
  <c r="AW22" i="7"/>
  <c r="AU22" i="7"/>
  <c r="AW20" i="7"/>
  <c r="AU20" i="7"/>
  <c r="AW10" i="7"/>
  <c r="AU10" i="7"/>
  <c r="AW73" i="7"/>
  <c r="AU73" i="7"/>
  <c r="AT45" i="7"/>
  <c r="AW7" i="7"/>
  <c r="AU7" i="7"/>
  <c r="AW8" i="7"/>
  <c r="AU8" i="7"/>
  <c r="AT33" i="7"/>
  <c r="AW5" i="7"/>
  <c r="AU5" i="7"/>
  <c r="AW34" i="7"/>
  <c r="AU34" i="7"/>
  <c r="AW66" i="7"/>
  <c r="AU66" i="7"/>
  <c r="AW18" i="7"/>
  <c r="AU18" i="7"/>
  <c r="AW83" i="7"/>
  <c r="AU83" i="7"/>
  <c r="AW84" i="7"/>
  <c r="AU84" i="7"/>
  <c r="AW62" i="7"/>
  <c r="AU62" i="7"/>
  <c r="AW31" i="7"/>
  <c r="AU31" i="7"/>
  <c r="AW63" i="7"/>
  <c r="AU63" i="7"/>
  <c r="AW15" i="7"/>
  <c r="AU15" i="7"/>
  <c r="AW16" i="7"/>
  <c r="AU16" i="7"/>
  <c r="AW72" i="7"/>
  <c r="AU72" i="7"/>
  <c r="AW51" i="7"/>
  <c r="AU51" i="7"/>
  <c r="AW53" i="7"/>
  <c r="AU53" i="7"/>
  <c r="AW41" i="7"/>
  <c r="AU41" i="7"/>
  <c r="AT29" i="7"/>
  <c r="AW13" i="7"/>
  <c r="AU13" i="7"/>
  <c r="AW6" i="7"/>
  <c r="AU6" i="7"/>
  <c r="AR26" i="7"/>
  <c r="AR39" i="7"/>
  <c r="AW9" i="7"/>
  <c r="AU9" i="7"/>
  <c r="AW3" i="7"/>
  <c r="AU3" i="7"/>
  <c r="AW4" i="7"/>
  <c r="AU4" i="7"/>
  <c r="AW58" i="7" l="1"/>
  <c r="AU58" i="7"/>
  <c r="AW37" i="7"/>
  <c r="AU37" i="7"/>
  <c r="AW26" i="7"/>
  <c r="AU26" i="7"/>
  <c r="AW29" i="7"/>
  <c r="AU29" i="7"/>
  <c r="AW24" i="7"/>
  <c r="AU24" i="7"/>
  <c r="AW45" i="7"/>
  <c r="AU45" i="7"/>
  <c r="AW39" i="7"/>
  <c r="AU39" i="7"/>
  <c r="AW33" i="7"/>
  <c r="AU33" i="7"/>
</calcChain>
</file>

<file path=xl/sharedStrings.xml><?xml version="1.0" encoding="utf-8"?>
<sst xmlns="http://schemas.openxmlformats.org/spreadsheetml/2006/main" count="1816" uniqueCount="740">
  <si>
    <t>REDES</t>
  </si>
  <si>
    <t>TA 31</t>
  </si>
  <si>
    <t>TA 33</t>
  </si>
  <si>
    <t>Geral</t>
  </si>
  <si>
    <t>Bacia de Material Contaminado</t>
  </si>
  <si>
    <t>Central de Utilidades</t>
  </si>
  <si>
    <t>Cancelada</t>
  </si>
  <si>
    <t>Estação de Tratamento de Efluente</t>
  </si>
  <si>
    <t>Edifício de Utilidades</t>
  </si>
  <si>
    <t>Transferido para 9801</t>
  </si>
  <si>
    <t xml:space="preserve">Pátios de Resíduos Não Perigosos Classe II </t>
  </si>
  <si>
    <t xml:space="preserve">Pátios de Resíduos Perigosos Classe I </t>
  </si>
  <si>
    <t>Transferido para o 2728</t>
  </si>
  <si>
    <t>Transferido para o 2729</t>
  </si>
  <si>
    <t>Transferido para 5703</t>
  </si>
  <si>
    <t>N-SAIPM - Núcleo de Assistência Social</t>
  </si>
  <si>
    <t>Centro de Convivência</t>
  </si>
  <si>
    <t>Heliponto e Paiol de Apoio</t>
  </si>
  <si>
    <t>Balança Rodoviária</t>
  </si>
  <si>
    <t>Cancelado</t>
  </si>
  <si>
    <t>BtlDefNBQR - Itaguaí</t>
  </si>
  <si>
    <t>Apoio do Pátio de Esportes</t>
  </si>
  <si>
    <t>Terminal Rodoviário</t>
  </si>
  <si>
    <t>Posto de Controle</t>
  </si>
  <si>
    <t>Estação de Controle de Veículos - ECV</t>
  </si>
  <si>
    <t>Prédio dos Centros Integrados de Controle da Área Norte</t>
  </si>
  <si>
    <t>Posto de Controle / Guarita Entrada CNI</t>
  </si>
  <si>
    <t>Guarita do Túnel</t>
  </si>
  <si>
    <t>Depósito Geral da Base Naval</t>
  </si>
  <si>
    <t>Canil</t>
  </si>
  <si>
    <t>Depósito Alfandegário</t>
  </si>
  <si>
    <t>Garagem</t>
  </si>
  <si>
    <t>Departamento de Saúde</t>
  </si>
  <si>
    <t>Rampa para EDVM</t>
  </si>
  <si>
    <t>Píer</t>
  </si>
  <si>
    <t>Centro de Lógica e Tecnologia da Informação</t>
  </si>
  <si>
    <t>Sala de Estado do BtlDefNBQR</t>
  </si>
  <si>
    <t xml:space="preserve">Prédio do Comando do BtlDefNBQR </t>
  </si>
  <si>
    <t xml:space="preserve">Prédio do Conforto do BtlDefNBQR </t>
  </si>
  <si>
    <t>Prédio das Companhias do BtlDefNBQR</t>
  </si>
  <si>
    <t>Paióis do BtlDefNBQR</t>
  </si>
  <si>
    <t>Academia do BtlDefNBQR</t>
  </si>
  <si>
    <t>Canil do BtlDefNBQR</t>
  </si>
  <si>
    <t>Área de Convivência</t>
  </si>
  <si>
    <t>Rampa de Lavagem e Casa de Bombas do BtlDefNBQR</t>
  </si>
  <si>
    <t>Garagem do BtlDefNBQR</t>
  </si>
  <si>
    <t>Hotel de Trânsito</t>
  </si>
  <si>
    <t>Centro de Intendência</t>
  </si>
  <si>
    <t>Subestação da Base Norte</t>
  </si>
  <si>
    <t>Subestação Provisória do EBN</t>
  </si>
  <si>
    <t>Subestação Secundária</t>
  </si>
  <si>
    <t>Vago</t>
  </si>
  <si>
    <t>Geral - Interligações</t>
  </si>
  <si>
    <t>Estacionamento da BSIM-NORTE (Parte 1)</t>
  </si>
  <si>
    <t>Guarita</t>
  </si>
  <si>
    <t>Escritório</t>
  </si>
  <si>
    <t>Fiscalização</t>
  </si>
  <si>
    <t>Refeitório</t>
  </si>
  <si>
    <t xml:space="preserve">Ambulatório / Seg. / Aprop. </t>
  </si>
  <si>
    <t>Almoxarifado</t>
  </si>
  <si>
    <t>Vestiário</t>
  </si>
  <si>
    <t xml:space="preserve">Central de Forma </t>
  </si>
  <si>
    <t>Central de Armação</t>
  </si>
  <si>
    <t>Central de Concreto</t>
  </si>
  <si>
    <t>Controle Oficina</t>
  </si>
  <si>
    <t>Controle da Ponte de Embarque</t>
  </si>
  <si>
    <t>Laboratório</t>
  </si>
  <si>
    <t>2 x Castelo d'água</t>
  </si>
  <si>
    <t>Baia de Agregados</t>
  </si>
  <si>
    <t>Lavagem de Betoneiras</t>
  </si>
  <si>
    <t>Elétrica</t>
  </si>
  <si>
    <t>Borracharia</t>
  </si>
  <si>
    <t>Oficina</t>
  </si>
  <si>
    <t>Lubrificação</t>
  </si>
  <si>
    <t>Pátio de Veículos</t>
  </si>
  <si>
    <t>Planta de Combustível</t>
  </si>
  <si>
    <t>ETE</t>
  </si>
  <si>
    <t>2 x Reservatório de Água</t>
  </si>
  <si>
    <t>Posto de Abastecimento</t>
  </si>
  <si>
    <t>Caixa Separadora de Água e Óleo</t>
  </si>
  <si>
    <t>Subestação</t>
  </si>
  <si>
    <t xml:space="preserve">Torre de Comunicação                </t>
  </si>
  <si>
    <t>Oficina Hidrostática / Ajustagem / Metalurgia / Torno / Fresa</t>
  </si>
  <si>
    <t>Oficina Motores Injetores / Hidráulica</t>
  </si>
  <si>
    <t>Oficina de Eletricidade e Manômetros</t>
  </si>
  <si>
    <t>Oficina de Mastros, Periscópios e Sistemas de Combate</t>
  </si>
  <si>
    <t>Transferido para 2340</t>
  </si>
  <si>
    <t>Transferido para 9832</t>
  </si>
  <si>
    <t>Oficina de Manutenção de Primeiro e Segundo Escalão</t>
  </si>
  <si>
    <t>Almoxarifado da Oficina de Mastros e Periscópios</t>
  </si>
  <si>
    <t>Tanques de Combustíveis</t>
  </si>
  <si>
    <t>Pátio de Resíduos</t>
  </si>
  <si>
    <t>Área transferida para 7703</t>
  </si>
  <si>
    <t>Brigada de Incêndio</t>
  </si>
  <si>
    <t>Garagem da Base/Oficina Mecânica</t>
  </si>
  <si>
    <t>Capela</t>
  </si>
  <si>
    <t>DTS - Departamento de Treinadores e Simuladores do CIAMA</t>
  </si>
  <si>
    <t>CIAMA – Centro de Instrução e Adestramento Almirante Áttila Monteiro Aché</t>
  </si>
  <si>
    <t>Simuladores TUPI</t>
  </si>
  <si>
    <t>Transferido para 1709</t>
  </si>
  <si>
    <t>Edifício de Submarinos Convencionais</t>
  </si>
  <si>
    <t>Edifício de Submarinos Nucleares - SNBR</t>
  </si>
  <si>
    <t>Alojamento de Oficiais e Praça d'Armas</t>
  </si>
  <si>
    <t>Salão de Jogos</t>
  </si>
  <si>
    <t>Alojamento CB / MN</t>
  </si>
  <si>
    <t>Alojamento SO / SG</t>
  </si>
  <si>
    <t>COMFORS - Comando da Força de Submarinos</t>
  </si>
  <si>
    <t>BSIM- Comando da Base</t>
  </si>
  <si>
    <t>Portaria da Base Área Sul</t>
  </si>
  <si>
    <t>Cancelado (transferido para 2727)</t>
  </si>
  <si>
    <t>Prédio de Mergulhadores e Garagem de Embarcações</t>
  </si>
  <si>
    <t>Prédio dos Centros Integrados de Controle da Área Sul</t>
  </si>
  <si>
    <t>Hotel de Trânsito de Oficiais (a ser alocado no Prédio 1742)</t>
  </si>
  <si>
    <t>Hotel de Trânsito de Praças</t>
  </si>
  <si>
    <t>Vestiário / Alojamento</t>
  </si>
  <si>
    <t>Prédio de Administração</t>
  </si>
  <si>
    <t>Posto de Controle/ Guarita de Acesso Ilha da Madeira</t>
  </si>
  <si>
    <t>Posto de Vigilância Junto ao Porto de Itaguaí</t>
  </si>
  <si>
    <t>Posto de Atendimento Médico da BSIM</t>
  </si>
  <si>
    <t>Prédio do Esquadrão de Guerra Cibernética (EsqdGciber)</t>
  </si>
  <si>
    <t>Prédio do Comando do Esquadrão das FCT</t>
  </si>
  <si>
    <t>Lavanderia da BSIM</t>
  </si>
  <si>
    <t>Academia</t>
  </si>
  <si>
    <t>Camarotes de Trânsito (BOQ)</t>
  </si>
  <si>
    <t>Centro de Capacitação Física</t>
  </si>
  <si>
    <t>Garagem de viaturas da BSIM</t>
  </si>
  <si>
    <t xml:space="preserve">Subestação de Entrada </t>
  </si>
  <si>
    <t>Subestação Provisória de Entrada</t>
  </si>
  <si>
    <t>Subestação da Área Administrativa 1</t>
  </si>
  <si>
    <t>Subestação da Central de Utilidades</t>
  </si>
  <si>
    <t>Subestação dos Simuladores</t>
  </si>
  <si>
    <t xml:space="preserve">Subestação da Área Administrativa 2 </t>
  </si>
  <si>
    <t>Casa de Química</t>
  </si>
  <si>
    <t>Casa de Controle da Balança</t>
  </si>
  <si>
    <t>Torre de Comunicação</t>
  </si>
  <si>
    <t>Nuclep- Geral</t>
  </si>
  <si>
    <t>Prédio principal</t>
  </si>
  <si>
    <t>Oficina de montagem das seções e de pré-montagem de equipamento</t>
  </si>
  <si>
    <t>Oficina de Eletricidade</t>
  </si>
  <si>
    <t>Oficina de Mecânica</t>
  </si>
  <si>
    <t>Casa de Máquinas 1</t>
  </si>
  <si>
    <t>Paiol de apoio a construção</t>
  </si>
  <si>
    <t xml:space="preserve">Escritórios zona oeste </t>
  </si>
  <si>
    <t>Oficina de galvanização</t>
  </si>
  <si>
    <t>Trânsito de Tubulação e Dutos</t>
  </si>
  <si>
    <t>Oficina de Apoio de Pintura</t>
  </si>
  <si>
    <t>Oficina de Suportes e Dutos</t>
  </si>
  <si>
    <t>Transferida para 3146</t>
  </si>
  <si>
    <t>Oficina de Tubulações</t>
  </si>
  <si>
    <t>Oficina de Testes não destrutivos</t>
  </si>
  <si>
    <t>Serviços Gerais</t>
  </si>
  <si>
    <t>Metrologia</t>
  </si>
  <si>
    <t>Escritórios da Supervisão</t>
  </si>
  <si>
    <t>Casa de Máquinas 2</t>
  </si>
  <si>
    <t>Oficina de Fabricação de Estruturas Leves</t>
  </si>
  <si>
    <t>Oficina de Marcenaria e Isolamento</t>
  </si>
  <si>
    <t>Oficina de Manutenção de Equipamentos de Solda</t>
  </si>
  <si>
    <t>Paiol de chapas</t>
  </si>
  <si>
    <t>Almoxarifado de Suporte Industrial</t>
  </si>
  <si>
    <t>Paiol de Inflamáveis</t>
  </si>
  <si>
    <t>Prensa de 80000kN</t>
  </si>
  <si>
    <t>Pátio de Resíduos Não Perigosos Classe ll</t>
  </si>
  <si>
    <t>Pátio de Resíduos Perigosos Classe l</t>
  </si>
  <si>
    <t>Portaria Principal</t>
  </si>
  <si>
    <t>Ambulatório</t>
  </si>
  <si>
    <t>Portaria de Empregados</t>
  </si>
  <si>
    <t>Refeitório e Cozinha</t>
  </si>
  <si>
    <t>Portaria de Cargas</t>
  </si>
  <si>
    <t>Escola de Soldagem</t>
  </si>
  <si>
    <t>Garagem de Viaturas</t>
  </si>
  <si>
    <t>Controle de Acesso Área Industrial</t>
  </si>
  <si>
    <t>Galeria Fechada</t>
  </si>
  <si>
    <t>Subestação de Entrada</t>
  </si>
  <si>
    <t>Subestação da Área Administrativa</t>
  </si>
  <si>
    <t>Subestação do Prédio Principal</t>
  </si>
  <si>
    <t>Sala de Painéis do Prédio Principal</t>
  </si>
  <si>
    <t>Subestação do Almoxarifado</t>
  </si>
  <si>
    <t>Sistema Elétrico para a Prensa de 8000t</t>
  </si>
  <si>
    <t>Geral - Interligações- Nuclep</t>
  </si>
  <si>
    <t>Escritório + Ampliação</t>
  </si>
  <si>
    <t>Ambulatório / RH</t>
  </si>
  <si>
    <t>Cozinha</t>
  </si>
  <si>
    <t>Sanitário de Campo</t>
  </si>
  <si>
    <t>Laboratório / Seg. Trabalho</t>
  </si>
  <si>
    <t>Auditório</t>
  </si>
  <si>
    <t>Escritório da Produção</t>
  </si>
  <si>
    <t>Jato e Pintura</t>
  </si>
  <si>
    <t>Pipe Shop</t>
  </si>
  <si>
    <t>Área Convivência / Churrasqueira</t>
  </si>
  <si>
    <t>2 x Castelo d'água 130.000L</t>
  </si>
  <si>
    <t>Ampliação do Vestiário</t>
  </si>
  <si>
    <t>Ampliação do Laboratório</t>
  </si>
  <si>
    <t>Ampliação Ambulatório</t>
  </si>
  <si>
    <t>Ampliação RH</t>
  </si>
  <si>
    <t>Almoxarifado (Tubulação, Chapas e Vigas)</t>
  </si>
  <si>
    <t>Subempreiteiros (10 Containers)</t>
  </si>
  <si>
    <t>Quadra Poliesportiva</t>
  </si>
  <si>
    <t>Estoque de Resíduos</t>
  </si>
  <si>
    <t>Depósito de Serviços Gerais</t>
  </si>
  <si>
    <t>Banco</t>
  </si>
  <si>
    <t>Canteiro de Obras Piranema</t>
  </si>
  <si>
    <t>Prédio de Fabricação</t>
  </si>
  <si>
    <t>Oficina de Fabricação de Submarinos</t>
  </si>
  <si>
    <t>Prédio de Apoio à Fabricação de Submarinos</t>
  </si>
  <si>
    <t>Paiol de equipamentos portáteis</t>
  </si>
  <si>
    <t>Oficina de Eletro-mecânica</t>
  </si>
  <si>
    <t>Transferido para 4144</t>
  </si>
  <si>
    <t>Transferido para 4171</t>
  </si>
  <si>
    <t>Prédio de Apoio à Fabricação</t>
  </si>
  <si>
    <t>Oficina de Pintura</t>
  </si>
  <si>
    <t>Oficina de ajuste de tubulações</t>
  </si>
  <si>
    <t>Almoxarifado de Fabricação</t>
  </si>
  <si>
    <t>Transferido para 4129</t>
  </si>
  <si>
    <t>Prédio de Apoio à Manutenção do ESC</t>
  </si>
  <si>
    <t>Paiol de inflamáveis</t>
  </si>
  <si>
    <t>Transferido para 4139</t>
  </si>
  <si>
    <t>Área de Subcontratados</t>
  </si>
  <si>
    <t>Prédio de Escritórios</t>
  </si>
  <si>
    <t>Pátio de Manobra de Submarinos ESC</t>
  </si>
  <si>
    <t>Prédio de Montagem Final</t>
  </si>
  <si>
    <t>Cancelada. Transferida para área nuclear</t>
  </si>
  <si>
    <t>Transferido para 1610</t>
  </si>
  <si>
    <t>Transferido para 1620</t>
  </si>
  <si>
    <t>Pátio de Resíduos do ESC</t>
  </si>
  <si>
    <t>Transferida para 7707</t>
  </si>
  <si>
    <t>Portaria do Estaleiro</t>
  </si>
  <si>
    <t>Transferido para 9810</t>
  </si>
  <si>
    <t>Subestação da Fabricação</t>
  </si>
  <si>
    <t>Subestação do Apoio à Fabricação 1</t>
  </si>
  <si>
    <t xml:space="preserve">Subestação do Apoio à Fabricação 2 </t>
  </si>
  <si>
    <t>Complexo de Manutenção Especializada</t>
  </si>
  <si>
    <t>Complexo de Manutenção e Montagem Nuclear</t>
  </si>
  <si>
    <t xml:space="preserve">Unidade de Tratamento de Rejeitos (UTR) </t>
  </si>
  <si>
    <t>Sistema de Processamento de Rejeitos Gasosos (SPRG)</t>
  </si>
  <si>
    <t>Sistema de Processamento de Rejeitos Líquidos (SPRL)</t>
  </si>
  <si>
    <t>Sistema de Processamento de Rejeitos Sólidos (SPRS)</t>
  </si>
  <si>
    <t>Lavanderia Quente</t>
  </si>
  <si>
    <t>Laboratório Radioquímico</t>
  </si>
  <si>
    <t>Sistema de Descontaminação Móvel (SDM)</t>
  </si>
  <si>
    <t>Sala de Descontaminação Pessoal</t>
  </si>
  <si>
    <t>Sala de Proteção Radiológica</t>
  </si>
  <si>
    <t>Sistema Móvel de Descontaminação Pessoal (SMDP)</t>
  </si>
  <si>
    <t xml:space="preserve">Unidade de Estocagem de Peças Irradiadas (UEPI) </t>
  </si>
  <si>
    <t>Oficina de Descontaminação</t>
  </si>
  <si>
    <t>Armazenagem de Peças Irradiadas</t>
  </si>
  <si>
    <t>Troca de Combustíveis</t>
  </si>
  <si>
    <t>Oficina Mecânica Quente (OMQ)</t>
  </si>
  <si>
    <t>Prédio de Estocagem de Combustíveis (PEC)</t>
  </si>
  <si>
    <t>Piscina de Estocagem de Combustíveis Irradiados</t>
  </si>
  <si>
    <t>Área de Combustíveis Novos</t>
  </si>
  <si>
    <t>Unidades Móveis de Manutenção do Compartimento do Reator</t>
  </si>
  <si>
    <t>Unidadel Móvel de Confinamento dos Diques</t>
  </si>
  <si>
    <t>Caldeira Móvel</t>
  </si>
  <si>
    <t>Movimentação de Rejeitos Gasosos nos Diques</t>
  </si>
  <si>
    <t>Sistema de Movimentação de Rejeitos Líquidos nos Cais 1 e 15</t>
  </si>
  <si>
    <t>Movimentação de Rejeitos Líquidos nos Diques</t>
  </si>
  <si>
    <t xml:space="preserve">Movimentação de Rejeitos Sólidos nos Diques </t>
  </si>
  <si>
    <t>Ventilação do Compartimento do Reator nos Diques</t>
  </si>
  <si>
    <t>Área de Armazenamento Inicial de Rejeitos</t>
  </si>
  <si>
    <t>Chaminé</t>
  </si>
  <si>
    <t>Prédio Principal</t>
  </si>
  <si>
    <t>Estruturas Marítimas Especializadas</t>
  </si>
  <si>
    <t>Cais</t>
  </si>
  <si>
    <t>Cais 14</t>
  </si>
  <si>
    <t>Cais 1</t>
  </si>
  <si>
    <t>Cais 15</t>
  </si>
  <si>
    <t>Pontão</t>
  </si>
  <si>
    <t>Passarelas de Acesso</t>
  </si>
  <si>
    <t>Canaletas de Utilidades dos Cais</t>
  </si>
  <si>
    <t>Diques</t>
  </si>
  <si>
    <t>Dique 1</t>
  </si>
  <si>
    <t>Dique 2</t>
  </si>
  <si>
    <t>Passarelas de Acesso de Pessoal ao SCPN nos Diques</t>
  </si>
  <si>
    <t>Canaletas de Utilidades dos Diques</t>
  </si>
  <si>
    <t>Sistema de Docagem</t>
  </si>
  <si>
    <t>Linha de Picadeiros</t>
  </si>
  <si>
    <t>Pontes Rolantes/ Pórtico Rolante do Dique 1</t>
  </si>
  <si>
    <t>Guindastes do Dique 2</t>
  </si>
  <si>
    <t>Sistema de Comporta dos Diques</t>
  </si>
  <si>
    <t>Comporta do Dique 1</t>
  </si>
  <si>
    <t>Comporta do Dique 2</t>
  </si>
  <si>
    <t>Porta Anti-Intrusão Dique 1</t>
  </si>
  <si>
    <t>Porta Anti-Intrusão Dique 2</t>
  </si>
  <si>
    <t>Complexo de Suporte</t>
  </si>
  <si>
    <t xml:space="preserve">Instalações de Suporte nos Cais </t>
  </si>
  <si>
    <t>Central de Utilidades do Cais 15</t>
  </si>
  <si>
    <t>Subestação Secundária do Cais 15</t>
  </si>
  <si>
    <t>Central de Utilidades do Cais 1</t>
  </si>
  <si>
    <t>Subestação Secundária do Cais 1</t>
  </si>
  <si>
    <t>Área de Armazenagem de Unidades Móveis dos Cais</t>
  </si>
  <si>
    <t>Casa de Bombas de Incêndio dos Cais e Diques</t>
  </si>
  <si>
    <t>Central de Utilidades do Cais 14</t>
  </si>
  <si>
    <t>Subestação Secundária do Cais 14</t>
  </si>
  <si>
    <t>Instalações de Suporte nos Diques</t>
  </si>
  <si>
    <t>Central de Utilidades do Dique 1</t>
  </si>
  <si>
    <t>Central de Utilidades do Dique 2</t>
  </si>
  <si>
    <t xml:space="preserve">Casa de Bombas do SARSM Normal do Dique 1 </t>
  </si>
  <si>
    <t xml:space="preserve">Casa de Bombas do SARSM Normal do Dique 2 </t>
  </si>
  <si>
    <t>Subestação Secundária do Dique 1</t>
  </si>
  <si>
    <t>Subestação Secundária do Dique 2</t>
  </si>
  <si>
    <t>Sistema de Esgotamento e Enchimento dos Diques</t>
  </si>
  <si>
    <t>5329-1</t>
  </si>
  <si>
    <t>Sala Elétrica das Bombas dos Diques</t>
  </si>
  <si>
    <t>5329-2</t>
  </si>
  <si>
    <t>Rede de bombas de Esgotamento e Enchimento dos Diques</t>
  </si>
  <si>
    <t>5329-3</t>
  </si>
  <si>
    <t>Bombas Stripping</t>
  </si>
  <si>
    <t>Instalações de Suporte na Área de Apoio</t>
  </si>
  <si>
    <t>Central de Utilidades Principal</t>
  </si>
  <si>
    <t>Subestação Secundária de Apoio</t>
  </si>
  <si>
    <t>Sistema de Tratamento de Efluentes (Estação de Tratamento de Efluentes Industriais)</t>
  </si>
  <si>
    <t>Prédio da Brigada de Incêndio</t>
  </si>
  <si>
    <t>Tancagem de Óleo Diesel para Geradores de Emergência</t>
  </si>
  <si>
    <t>5335-1</t>
  </si>
  <si>
    <t>Tancagem de Óleo Diesel para Geradores da Subestação Secundária do Dique 1</t>
  </si>
  <si>
    <t>5335-2</t>
  </si>
  <si>
    <t>Tancagem de Óleo Diesel para Geradores da Subestação Secundária do Dique 2</t>
  </si>
  <si>
    <t>Sistema de Tratamento de Águas Oleosas (Estação de Tratamento de Efluentes Industriais)</t>
  </si>
  <si>
    <t>Subestação Secundária do Prédio Principal</t>
  </si>
  <si>
    <t>Instalações de Suporte do Sistema de Controle e Comunicação</t>
  </si>
  <si>
    <t>Sala de Controle da Área Vital</t>
  </si>
  <si>
    <t>5351-1</t>
  </si>
  <si>
    <t>CPDI-AV</t>
  </si>
  <si>
    <t>Sala de Controle de Automação das Subestações Elétricas</t>
  </si>
  <si>
    <t>5352-1</t>
  </si>
  <si>
    <t>CPDI-CME</t>
  </si>
  <si>
    <t>Sala de Controle das Salas dos Diques</t>
  </si>
  <si>
    <t>Sala de Controle da Central de Utilidades Principal</t>
  </si>
  <si>
    <t>Instalações de Suporte do Sistema de Telecomunicações</t>
  </si>
  <si>
    <t>Centro de Dados da Área Vital</t>
  </si>
  <si>
    <t>Centro de Dados das Áreas Protegida e Vital</t>
  </si>
  <si>
    <t>Instalações de Proteção Física, Salva Guardas e Gestâo de Emergência</t>
  </si>
  <si>
    <t>Instalações de Proteção Física</t>
  </si>
  <si>
    <t>Portaria Principal do CME</t>
  </si>
  <si>
    <t>Portaria  de Acesso da Base Naval Área Sul</t>
  </si>
  <si>
    <t>Portaria de Acesso do Estaleiro de Manutenção</t>
  </si>
  <si>
    <t>Cerca da Área Protegida</t>
  </si>
  <si>
    <t>Portaria de Acesso do Prédio Principal</t>
  </si>
  <si>
    <t>COS da Área Vital</t>
  </si>
  <si>
    <t>5416-1</t>
  </si>
  <si>
    <t>CPDS-AV</t>
  </si>
  <si>
    <t>COS das Áreas Protegida e Vigiada do CME</t>
  </si>
  <si>
    <t>5417-1</t>
  </si>
  <si>
    <t>CPDS-CME</t>
  </si>
  <si>
    <t>Portaria da Área Protegida</t>
  </si>
  <si>
    <t>Instalações relacionadas ao Plano de Emergência (I)</t>
  </si>
  <si>
    <t>Central de Gerenciamento de Crise Principal do EBN (CGCP)</t>
  </si>
  <si>
    <t>Central de Gerenciamento de crise Backup do EBN</t>
  </si>
  <si>
    <t>Centro de Suporte Técnico (CST) do CME</t>
  </si>
  <si>
    <t>Sistema de Detecção de Radiação do Sítio</t>
  </si>
  <si>
    <t>Instalações Relacionadas ao Plano de Emergência (III)</t>
  </si>
  <si>
    <t xml:space="preserve">Ponto de Evacuação e Rota de Fuga </t>
  </si>
  <si>
    <t>Ponto de Evacuação e Rota de Fuga da Base Naval Sul (BNS)</t>
  </si>
  <si>
    <t xml:space="preserve">Ponto de Evacuação e Rota de Fuga do Estaleiro de Manutenção </t>
  </si>
  <si>
    <t>Ponto de Evacuação e Rota de Fuga do Estaleiro de Construção</t>
  </si>
  <si>
    <t>Instalações de Apoio</t>
  </si>
  <si>
    <t>Prédio Administrativo (PDAM)</t>
  </si>
  <si>
    <t>Áreas de Estocagem</t>
  </si>
  <si>
    <t>Área de Estocagem de Apoio Marítimo aos Diques</t>
  </si>
  <si>
    <t>Área de Estocagem dos Cais</t>
  </si>
  <si>
    <t>Área de Estocagem do Dique 1</t>
  </si>
  <si>
    <t>Área de Estocagem do Dique 2</t>
  </si>
  <si>
    <t>Prédio de Apoio</t>
  </si>
  <si>
    <t>Área Transitória de Lixo</t>
  </si>
  <si>
    <t>Oficina de Apoio aos Diques</t>
  </si>
  <si>
    <t>Oficina de Apoio ao Dique 1</t>
  </si>
  <si>
    <t>Oficina de Apoio ao Dique 2</t>
  </si>
  <si>
    <t>Oficina de Apoio aos Cais</t>
  </si>
  <si>
    <t>Oficina de Apoio Operacional à Docagem</t>
  </si>
  <si>
    <t>Estacionamentos e Área de Espera/Transbordo</t>
  </si>
  <si>
    <t>Estacionamento do CME</t>
  </si>
  <si>
    <t>Área de Espera do CME</t>
  </si>
  <si>
    <t>Estacionamento de Viaturas</t>
  </si>
  <si>
    <t>Área de Apoio Logístico ao Cais</t>
  </si>
  <si>
    <t>Área de Apoio Logístico ao Dique 1</t>
  </si>
  <si>
    <t>Área de Apoio Logístico ao Dique 2</t>
  </si>
  <si>
    <t>Área de Apoio Logístico de Unidades Móveis</t>
  </si>
  <si>
    <t>Área de Apoio Logístico Marítimo</t>
  </si>
  <si>
    <t xml:space="preserve">Sanitário de Apoio ao Cais </t>
  </si>
  <si>
    <t>Estruturas de Estabilização de Encostas do CME e Macro Drenagem de Encostas</t>
  </si>
  <si>
    <t>Instalações de Monitoração Meteorológico-Ambiental</t>
  </si>
  <si>
    <t>Laboratório de Monitoração Ambiental e Radiológica (LMAR)</t>
  </si>
  <si>
    <t xml:space="preserve">Instalações do Sistema de Monitoração Metereológica </t>
  </si>
  <si>
    <t>Torre Metereológica Principal</t>
  </si>
  <si>
    <t>Torre Metereológica Back up</t>
  </si>
  <si>
    <t>Torre Metereológica de Apoio</t>
  </si>
  <si>
    <t>Torre Meteorológica (D)</t>
  </si>
  <si>
    <t xml:space="preserve">Instalações do Sistema de Monitoração Sismológico </t>
  </si>
  <si>
    <t>Instalações de Apoio ao Plano de Monitoramento Ambiental Radiológico Operacional</t>
  </si>
  <si>
    <t>Interfaces</t>
  </si>
  <si>
    <t>Interligações</t>
  </si>
  <si>
    <t>Área Sudeste</t>
  </si>
  <si>
    <t>Via Litorânea</t>
  </si>
  <si>
    <t>PMI</t>
  </si>
  <si>
    <t>Rota de Fuga  Ilha da Madeira</t>
  </si>
  <si>
    <t>Rota de Fuga pelo Porto</t>
  </si>
  <si>
    <t>Túnel de Acesso</t>
  </si>
  <si>
    <t>Depósito M1</t>
  </si>
  <si>
    <t>Depósito  M2</t>
  </si>
  <si>
    <t>Acesso ao Platô da CF pela BNS</t>
  </si>
  <si>
    <t>Platô da Companhia de Fuzileiros</t>
  </si>
  <si>
    <t>transferida para a área 7410</t>
  </si>
  <si>
    <t>transferida para as áreas 6430 e 6440</t>
  </si>
  <si>
    <t>Cais - Geral</t>
  </si>
  <si>
    <t>Cais 2</t>
  </si>
  <si>
    <t>Cais 3</t>
  </si>
  <si>
    <t>Cais 4</t>
  </si>
  <si>
    <t>Cais 5 e 6</t>
  </si>
  <si>
    <t xml:space="preserve">Cais 7 e 8 </t>
  </si>
  <si>
    <t>Cais 11</t>
  </si>
  <si>
    <t xml:space="preserve">Cais 12 e 13 </t>
  </si>
  <si>
    <t>Cais Auxiliar</t>
  </si>
  <si>
    <t>Ship Lift</t>
  </si>
  <si>
    <t>Infraestrutura Marítima - Geral</t>
  </si>
  <si>
    <t>Cantitravel</t>
  </si>
  <si>
    <t>Tratamento de sedimentos contaminados</t>
  </si>
  <si>
    <t>Barcaças</t>
  </si>
  <si>
    <t>Dragagem</t>
  </si>
  <si>
    <t>transferida para a área 7170</t>
  </si>
  <si>
    <t>transferida para a área 7180</t>
  </si>
  <si>
    <t>Enrocamento</t>
  </si>
  <si>
    <t>Aterro Hidráulico</t>
  </si>
  <si>
    <t>Ensecadeira Provisória para Docas 1 e 2</t>
  </si>
  <si>
    <t>Porto de Embarque Provisório</t>
  </si>
  <si>
    <t>Ponte de Embarque</t>
  </si>
  <si>
    <t>Píer da Polícia Federal</t>
  </si>
  <si>
    <t>Edificação para Polícia Federal</t>
  </si>
  <si>
    <t>Utilidades - Geral</t>
  </si>
  <si>
    <t>Posto de Vigilância / Guarita de entrada da Bacia de Manobra - MB</t>
  </si>
  <si>
    <t>Posto de Controle (Guarita) no Desemboque do Canal S1</t>
  </si>
  <si>
    <t>Cais 2 - Subestação Secundária</t>
  </si>
  <si>
    <t>Cais 3 e 4 – Subestação Secundária - SBR</t>
  </si>
  <si>
    <t>Cais 5 e 6 - Subestação Secundária - SBR</t>
  </si>
  <si>
    <t>Transferido para 7818</t>
  </si>
  <si>
    <t>Cais 7 e 8 - Subestação Secundária - SBR/SNBR</t>
  </si>
  <si>
    <t>Transferido para 8860</t>
  </si>
  <si>
    <t>Shiplift - Subestação Secundária e Casa de Bombas</t>
  </si>
  <si>
    <t xml:space="preserve">Cancelado </t>
  </si>
  <si>
    <t>Área de Subcontratadas</t>
  </si>
  <si>
    <t>Pátio de Manobra de Submarinos ESM</t>
  </si>
  <si>
    <t>Oficina de Ativação de Baterias</t>
  </si>
  <si>
    <t>Almoxarifado da Manutenção</t>
  </si>
  <si>
    <t>Oficina de Apoio à Manutenção de Submarinos</t>
  </si>
  <si>
    <t>Oficina de Apoio à Manutenção de Motores Diesel</t>
  </si>
  <si>
    <t>Transferido para 8381</t>
  </si>
  <si>
    <t>Escritórios da Gestão</t>
  </si>
  <si>
    <t>Oficina de Suporte Leve</t>
  </si>
  <si>
    <t>Prédio da Tripulação do SBR</t>
  </si>
  <si>
    <t>Prédio da Administração ESM</t>
  </si>
  <si>
    <t>Recepção VIP</t>
  </si>
  <si>
    <t>Portaria da Área de Manutenção</t>
  </si>
  <si>
    <t>Subestação do Apoio à Manutenção</t>
  </si>
  <si>
    <t>Cais 12 e 13, Shiplift e OAB - Subestação Secundária SNBR/SBR</t>
  </si>
  <si>
    <t>Prédio do Projeto SN-BR</t>
  </si>
  <si>
    <t xml:space="preserve">Laboratório de Monitoração Ambiental </t>
  </si>
  <si>
    <t>Portaria</t>
  </si>
  <si>
    <t>Portaria de Cargas e Acesso Visitantes</t>
  </si>
  <si>
    <t>Departamento de Saúde e ERA- Enfermaria de Radioacidentados</t>
  </si>
  <si>
    <t>Transferido para 1806</t>
  </si>
  <si>
    <t>Cadastro de Visitantes</t>
  </si>
  <si>
    <t xml:space="preserve">Expansão CeIM (Galpão de Piranema) </t>
  </si>
  <si>
    <t>Alojamento</t>
  </si>
  <si>
    <t>Cozinha Central / Refeitório</t>
  </si>
  <si>
    <t>Centro de Informações / COE -  Centro de Operações de Emergência</t>
  </si>
  <si>
    <t>Cabine de Entrada</t>
  </si>
  <si>
    <t xml:space="preserve">Estação de Tratamento de Efluentes </t>
  </si>
  <si>
    <t>Posto de Abastecimento de Combustíveis</t>
  </si>
  <si>
    <t xml:space="preserve">Central de Utilidades </t>
  </si>
  <si>
    <t>Base de Submarinos da Ilha da Madeira - Norte</t>
  </si>
  <si>
    <t>Base de Submarinos da Ilha da Madeira - Sul</t>
  </si>
  <si>
    <t>UFEM</t>
  </si>
  <si>
    <t>Estaleiro da Construção</t>
  </si>
  <si>
    <t>Acessos Definitivos e Túneis</t>
  </si>
  <si>
    <t>Infraestrutura Marítima e Cais</t>
  </si>
  <si>
    <t>Estaleiro da Manutenção</t>
  </si>
  <si>
    <t>Área de Apoio ao EBN</t>
  </si>
  <si>
    <t>Descrição</t>
  </si>
  <si>
    <t>Fornecimento de Equipamento</t>
  </si>
  <si>
    <t>Mecânica</t>
  </si>
  <si>
    <t>FIXO</t>
  </si>
  <si>
    <t>Preservação</t>
  </si>
  <si>
    <t>Comissionamento</t>
  </si>
  <si>
    <t>Montagem</t>
  </si>
  <si>
    <t>Supervisão de Montagem</t>
  </si>
  <si>
    <t>SERVIÇO</t>
  </si>
  <si>
    <t>CENTRAL</t>
  </si>
  <si>
    <t>CUSTO MO</t>
  </si>
  <si>
    <t>97000109</t>
  </si>
  <si>
    <t>94002445</t>
  </si>
  <si>
    <t>Acondicionamento - Instrumentos</t>
  </si>
  <si>
    <t>94002461</t>
  </si>
  <si>
    <t>94002480</t>
  </si>
  <si>
    <t>94002454</t>
  </si>
  <si>
    <t>94002453</t>
  </si>
  <si>
    <t>94002451</t>
  </si>
  <si>
    <t>94002447</t>
  </si>
  <si>
    <t>94002452</t>
  </si>
  <si>
    <t>94002448</t>
  </si>
  <si>
    <t>94002446</t>
  </si>
  <si>
    <t>94002450</t>
  </si>
  <si>
    <t>94002457</t>
  </si>
  <si>
    <t>94002458</t>
  </si>
  <si>
    <t>94002443</t>
  </si>
  <si>
    <t>94002444</t>
  </si>
  <si>
    <t>94002449</t>
  </si>
  <si>
    <t>94002442</t>
  </si>
  <si>
    <t>94002459</t>
  </si>
  <si>
    <t>94002460</t>
  </si>
  <si>
    <t>94002481</t>
  </si>
  <si>
    <t>94002482</t>
  </si>
  <si>
    <t>94002483</t>
  </si>
  <si>
    <t>94002455</t>
  </si>
  <si>
    <t>94002456</t>
  </si>
  <si>
    <t>Fornecimento de Equipamento - Elétrica</t>
  </si>
  <si>
    <t>#Fornecimento de Equipamento - Elétrica</t>
  </si>
  <si>
    <t>#Fornecimento de Equipamento - Mecânica</t>
  </si>
  <si>
    <t>Fornecimento de Equipamento - Mecânica</t>
  </si>
  <si>
    <t>Acondicionamento - Mecânica</t>
  </si>
  <si>
    <t>Acondicionamento - Elétrica</t>
  </si>
  <si>
    <t>Comissionamento - Elétrica</t>
  </si>
  <si>
    <t>Comissionamento - Mecânica</t>
  </si>
  <si>
    <t>Hookup Elétrico - Elétrica</t>
  </si>
  <si>
    <t>Hookup Elétrico - Mecânica</t>
  </si>
  <si>
    <t>Hookup Instrumentação - Elétrica</t>
  </si>
  <si>
    <t>Montagem - Elétrica</t>
  </si>
  <si>
    <t>Preservação - Elétrica</t>
  </si>
  <si>
    <t>Supervisão de Comissionamento - Elétrica</t>
  </si>
  <si>
    <t>Teste - Elétrica</t>
  </si>
  <si>
    <t>Teste - Mecânica</t>
  </si>
  <si>
    <t>Preservação - Mecânica</t>
  </si>
  <si>
    <t>Hookup Instrumentação - Mecânica</t>
  </si>
  <si>
    <t>Hookup Tubulação - Mecânica</t>
  </si>
  <si>
    <t>Montagem - Mecânica - Caldeiraria Tipo 1</t>
  </si>
  <si>
    <t>Montagem - Mecânica - Caldeiraria Tipo 2</t>
  </si>
  <si>
    <t>Supervisão de Comissionamento - Mecânica</t>
  </si>
  <si>
    <t>Supervisão de Montagem - Mecânica</t>
  </si>
  <si>
    <t>Montagem - Mecânica - FIXO</t>
  </si>
  <si>
    <t>Montagem - Mecânica - MÓVEL</t>
  </si>
  <si>
    <t>CÓD MAT. CONSUMO</t>
  </si>
  <si>
    <t>CUSTO MC</t>
  </si>
  <si>
    <t>CÓD. MAT. DIVERSOS</t>
  </si>
  <si>
    <t>CUSTO MAT. DIVERSOS</t>
  </si>
  <si>
    <t>#Fornecimento de Equipamento</t>
  </si>
  <si>
    <t>Acondicionamento</t>
  </si>
  <si>
    <t>Hookup Elétrico</t>
  </si>
  <si>
    <t>Hookup Instrumentação</t>
  </si>
  <si>
    <t>Hookup Tubulação</t>
  </si>
  <si>
    <t>Supervisão de Comissionamento</t>
  </si>
  <si>
    <t>Teste</t>
  </si>
  <si>
    <t>MÓVEL</t>
  </si>
  <si>
    <t>Instrumentos</t>
  </si>
  <si>
    <t>Supervisão Montagem#2</t>
  </si>
  <si>
    <t>Supervisão Comissionamento#2</t>
  </si>
  <si>
    <t>Supervisão Montagem#2 - Mecânica 2</t>
  </si>
  <si>
    <t>Supervisão Comissionamento#2 - Mecânica 2</t>
  </si>
  <si>
    <t>Entrega</t>
  </si>
  <si>
    <t>RM</t>
  </si>
  <si>
    <t>Área</t>
  </si>
  <si>
    <t>Serviço</t>
  </si>
  <si>
    <t>Disciplina</t>
  </si>
  <si>
    <t>Tag</t>
  </si>
  <si>
    <t>Quantidade</t>
  </si>
  <si>
    <t>Tipo</t>
  </si>
  <si>
    <t>Valor</t>
  </si>
  <si>
    <t>Indice Item</t>
  </si>
  <si>
    <t>151ª</t>
  </si>
  <si>
    <t>EBN-OEN-2000460-RM-4584</t>
  </si>
  <si>
    <t>CARRO PORTA FERRAMENTAS; 4 MÓDULOS POR GAVETA; CAPACIDADE TOTAL DE CARGA DE 175 A 210 kg EM GAVETAS, DIMENSÕES DA BANCADA - 797 X 461; EQUIPADO COM 4 RODÍZIOS DE 125 mm, SENDO 2 GIRATÓRIOS (1 COM FREIO) E 2 FIXOS. DIMENSÕES DO CARRO - (L x P x A) - 1004 x</t>
  </si>
  <si>
    <t>FERR2000-05002_2340</t>
  </si>
  <si>
    <t>1.772,07</t>
  </si>
  <si>
    <t>0,0571</t>
  </si>
  <si>
    <t>JOGO DE CALÇOS EM FOLHA PLASTICA (8 FOLHAS POR KIT), COMPRIMENTO 305 mm X LARGURA 152 mm, COM A SEGUINTES MEDIDAS (ESPESSURA EM mm) - 0,05, 0,08, 0,1, 0,13, 0,19, 0,25, 0,38 E 0,51</t>
  </si>
  <si>
    <t>FERR2000-05016_2340</t>
  </si>
  <si>
    <t>3.061,63</t>
  </si>
  <si>
    <t>0,0986</t>
  </si>
  <si>
    <t>SOPRADOR TÉRMICO, 2 KW DE POTÊNCIA, TENSÃO 220 A 240V, 60 Hz, TEMPERATURA MÁXIMA 550ºC; PESO 750 g. COM ACESSÓRIOS INCLUSOS (Bocal 4pcs (bocal refletor, bocal protetor de vidro, bocal cônico, bocal rabo de peixe) – 1 RASPADOR – CABO DE PLASTICO</t>
  </si>
  <si>
    <t>FERR2000-05023_2340</t>
  </si>
  <si>
    <t>125,35</t>
  </si>
  <si>
    <t>0,0674</t>
  </si>
  <si>
    <t>Barra de bronze fosforoso, Ø 3/4", comprimnto 330 mm, dureza 120 HB, resistência a tração - 420N/mm², condutibilidade térmica 47W/mK;</t>
  </si>
  <si>
    <t>FERR2000-05024_2340</t>
  </si>
  <si>
    <t>1.337,12</t>
  </si>
  <si>
    <t>0,7185</t>
  </si>
  <si>
    <t>Cabeça para chave dinamométrica - referência FACOM S.372 - quadrado de 1/2".</t>
  </si>
  <si>
    <t>FERR2000-05031_2340</t>
  </si>
  <si>
    <t>846,48</t>
  </si>
  <si>
    <t>0,0798</t>
  </si>
  <si>
    <t>Cabeça para chave dinamométrica - referência STAHLWILLE - 14 x 18 mm.</t>
  </si>
  <si>
    <t>FERR2000-05032_2340</t>
  </si>
  <si>
    <t>694,55</t>
  </si>
  <si>
    <t>0,0654</t>
  </si>
  <si>
    <t>Chave de fenda unidirecional, torque à direita, Classe II tipo D (manutenção A.400), Saída hexagonal fêmea para uso com bit de 1/4", Unidade ECR 1/4" - 1/4" para tomadas e acessórios opcionais, Encaixe de 1/4" no cabo para uso com cabo de catraca tipo A.3</t>
  </si>
  <si>
    <t>FERR2000-05033_2340</t>
  </si>
  <si>
    <t>1.823,19</t>
  </si>
  <si>
    <t>0,1718</t>
  </si>
  <si>
    <t>FERR2000-05034_2340</t>
  </si>
  <si>
    <t>1.910,01</t>
  </si>
  <si>
    <t>0,18</t>
  </si>
  <si>
    <t>Chave de fenda leve e compacta para carga de baixo torque. Torque à direita.</t>
  </si>
  <si>
    <t>FERR2000-05035_2340</t>
  </si>
  <si>
    <t>3.038,65</t>
  </si>
  <si>
    <t>0,2863</t>
  </si>
  <si>
    <t>Jogo de soquetes com bit hexagonal, encaixe 1/4" com as seguintes medidas (5, 6, 7, 8, 10, 12, 14, 17 e 19 mm)</t>
  </si>
  <si>
    <t>FERR2000-05037_2340</t>
  </si>
  <si>
    <t>998,41</t>
  </si>
  <si>
    <t>0,0941</t>
  </si>
  <si>
    <t>Ponta de chave de fenda, torx T6, encaixe sextavado 1/4", comprimento total 150mm.</t>
  </si>
  <si>
    <t>FERR2000-05038_2340</t>
  </si>
  <si>
    <t>305,63</t>
  </si>
  <si>
    <t>0,0098</t>
  </si>
  <si>
    <t>Ponta de chave de fenda, torx T8, encaixe sextavado 1/4", comprimento total 150mm</t>
  </si>
  <si>
    <t>FERR2000-05039_2340</t>
  </si>
  <si>
    <t>102,48</t>
  </si>
  <si>
    <t>0,0033</t>
  </si>
  <si>
    <t>Ponta de chave de fenda, torx T9, encaixe sextavado 1/4", comprimento total 150mm</t>
  </si>
  <si>
    <t>FERR2000-05040_2340</t>
  </si>
  <si>
    <t>Ponta de chave de fenda, torx T10, encaixe sextavado 1/4", comprimento total 150mm</t>
  </si>
  <si>
    <t>FERR2000-05041_2340</t>
  </si>
  <si>
    <t>Ponta de chave de fenda, torx T20, encaixe sextavado 1/4", comprimento total 150mm</t>
  </si>
  <si>
    <t>FERR2000-05042_2340</t>
  </si>
  <si>
    <t>Estilete de precisão, corpo em alumínio, laminas substituíveis</t>
  </si>
  <si>
    <t>FERR2000-05044_2340</t>
  </si>
  <si>
    <t>151,93</t>
  </si>
  <si>
    <t>0,0143</t>
  </si>
  <si>
    <t>Paquímetro de profundidade - 0 - 250 mm, graduação 0,02mm</t>
  </si>
  <si>
    <t>FERR2000-05045_2340</t>
  </si>
  <si>
    <t>303,86</t>
  </si>
  <si>
    <t>0,0286</t>
  </si>
  <si>
    <t>Suporte removível para calibradores de profundidade de 400 mm. Erro máximo permitido (± 0,005mm)</t>
  </si>
  <si>
    <t>FERR2000-05046_2340</t>
  </si>
  <si>
    <t>1.088,86</t>
  </si>
  <si>
    <t>0,0351</t>
  </si>
  <si>
    <t>Barra em aço inoxidável, rosca integral, M6 x 175mm</t>
  </si>
  <si>
    <t>FERR2000-05049_2340</t>
  </si>
  <si>
    <t>398,63</t>
  </si>
  <si>
    <t>0,2142</t>
  </si>
  <si>
    <t>Barra em aço inoxidável - S-304 Grau A2, rosca integral, M4 x 250mm.</t>
  </si>
  <si>
    <t>FERR2000-05050_2340</t>
  </si>
  <si>
    <t>61,81</t>
  </si>
  <si>
    <t>0,002</t>
  </si>
  <si>
    <t>Jogo de calços de precisão, com 47 peças classe 2.</t>
  </si>
  <si>
    <t>FERR2000-05053_2340</t>
  </si>
  <si>
    <t>2.207,62</t>
  </si>
  <si>
    <t>0,0711</t>
  </si>
  <si>
    <t>Haste de aço, Ø 20 mm x 1600 mm</t>
  </si>
  <si>
    <t>FERR2000-05054_2340</t>
  </si>
  <si>
    <t>497,46</t>
  </si>
  <si>
    <t>0,016</t>
  </si>
  <si>
    <t>0,00</t>
  </si>
  <si>
    <t>1,00</t>
  </si>
  <si>
    <t>2,00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</si>
  <si>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</si>
  <si>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</si>
  <si>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</si>
  <si>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</si>
  <si>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</si>
  <si>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</si>
  <si>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</si>
  <si>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</si>
  <si>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</si>
  <si>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</si>
  <si>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</si>
  <si>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</si>
  <si>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</si>
  <si>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</si>
  <si>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</si>
  <si>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</si>
  <si>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</si>
  <si>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</si>
  <si>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</si>
  <si>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</si>
  <si>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</si>
  <si>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</si>
  <si>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Serviços de Engenharia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</si>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</sst>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000000000000"/>
  </numFmts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42C64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0"/>
    <xf numFmtId="43" fontId="7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wrapText="1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wrapText="1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wrapText="1"/>
    </xf>
    <xf numFmtId="0" fontId="5" fillId="6" borderId="7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6" fillId="7" borderId="0" xfId="0" applyFont="1" applyFill="1"/>
    <xf numFmtId="0" fontId="0" fillId="0" borderId="9" xfId="0" applyBorder="1"/>
    <xf numFmtId="164" fontId="0" fillId="0" borderId="0" xfId="0" applyNumberFormat="1"/>
    <xf numFmtId="1" fontId="0" fillId="0" borderId="0" xfId="4" applyNumberFormat="1" applyFont="1"/>
    <xf numFmtId="43" fontId="0" fillId="0" borderId="0" xfId="4" applyFont="1"/>
    <xf numFmtId="0" fontId="0" fillId="0" borderId="0" xfId="0" applyNumberFormat="1"/>
    <xf numFmtId="49" fontId="0" fillId="0" borderId="0" xfId="0" applyNumberFormat="1"/>
  </cellXfs>
  <cellStyles count="5">
    <cellStyle name="Incorreto" xfId="1" xr:uid="{52866273-2418-4DB2-A4B1-1AB19B1D2EC7}"/>
    <cellStyle name="Neutra" xfId="2" xr:uid="{DEA52AAF-6F30-472E-9056-8F7BA568BA04}"/>
    <cellStyle name="Normal" xfId="0" builtinId="0"/>
    <cellStyle name="Normal 2" xfId="3" xr:uid="{0EDB5F2F-2687-43E0-8299-C2765F838A52}"/>
    <cellStyle name="Vírgula" xfId="4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ucasduarte\Desktop\tmplt%20base%20entrega.xlsx" TargetMode="External"/><Relationship Id="rId1" Type="http://schemas.openxmlformats.org/officeDocument/2006/relationships/externalLinkPath" Target="/Users/lucasduarte/Desktop/tmplt%20base%20entreg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ilha 1"/>
      <sheetName val="Planilha4"/>
      <sheetName val="E-MAIL"/>
      <sheetName val="Base_%"/>
      <sheetName val="%"/>
      <sheetName val="Planilha3"/>
      <sheetName val="FL.2"/>
      <sheetName val="CENTRAIS"/>
      <sheetName val="Composições Unitárias"/>
      <sheetName val="Nº LINHA"/>
    </sheetNames>
    <sheetDataSet>
      <sheetData sheetId="0"/>
      <sheetData sheetId="1"/>
      <sheetData sheetId="2"/>
      <sheetData sheetId="3"/>
      <sheetData sheetId="4"/>
      <sheetData sheetId="5">
        <row r="6">
          <cell r="A6" t="str">
            <v xml:space="preserve">#Fornecimento de Equipamento - </v>
          </cell>
        </row>
        <row r="7">
          <cell r="A7" t="str">
            <v xml:space="preserve">Fornecimento de Equipamento - </v>
          </cell>
        </row>
        <row r="8">
          <cell r="A8" t="str">
            <v>Fornecimento - Equipamentos Leves</v>
          </cell>
        </row>
        <row r="9">
          <cell r="A9" t="str">
            <v>#Fornecimento - Equipamentos Leves</v>
          </cell>
        </row>
        <row r="10">
          <cell r="A10" t="str">
            <v>Acondicionamento - Equipamentos Mecânicos</v>
          </cell>
        </row>
        <row r="11">
          <cell r="A11" t="str">
            <v>Acondicionamento - Instrumentos</v>
          </cell>
        </row>
        <row r="12">
          <cell r="A12" t="str">
            <v>Acondicionamento - Equipamentos Elétricos</v>
          </cell>
        </row>
        <row r="13">
          <cell r="A13" t="str">
            <v>Comissionamento - Equipamentos Elétrica</v>
          </cell>
        </row>
        <row r="14">
          <cell r="A14" t="str">
            <v>Comissionamento - Equipamentos Mecânicos</v>
          </cell>
        </row>
        <row r="15">
          <cell r="A15" t="str">
            <v>Hookup Elétrico - Equipamentos Eletricos</v>
          </cell>
        </row>
        <row r="16">
          <cell r="A16" t="str">
            <v>Hookup Elétrico - Equipamentos Mecânicos</v>
          </cell>
        </row>
        <row r="17">
          <cell r="A17" t="str">
            <v>Hookup Instrumentação - Equipamentos Elétricos</v>
          </cell>
        </row>
        <row r="18">
          <cell r="A18" t="str">
            <v>Hookup Instrumentação - Equipamentos Mecânicos</v>
          </cell>
        </row>
        <row r="19">
          <cell r="A19" t="str">
            <v>Hookup Tubulação - Equipamentos Mecânicos</v>
          </cell>
        </row>
        <row r="20">
          <cell r="A20" t="str">
            <v>Montagem - Equipamentos Elétricos</v>
          </cell>
        </row>
        <row r="21">
          <cell r="A21" t="str">
            <v>Montagem - Equipamentos Mecânicos - Caldeiraria Tipo 1</v>
          </cell>
        </row>
        <row r="22">
          <cell r="A22" t="str">
            <v>Montagem - Equipamentos Mecânicos - Caldeiraria Tipo 2</v>
          </cell>
        </row>
        <row r="23">
          <cell r="A23" t="str">
            <v>Montagem - Equipamentos Mecânicos Estáticos</v>
          </cell>
        </row>
        <row r="24">
          <cell r="A24" t="str">
            <v>Montagem - Equipamentos Mecânicos Rotativos</v>
          </cell>
        </row>
        <row r="25">
          <cell r="A25" t="str">
            <v>Preservação - Equipamentos Elétricos</v>
          </cell>
        </row>
        <row r="26">
          <cell r="A26" t="str">
            <v>Preservação - Equipamentos Mecânicos</v>
          </cell>
        </row>
        <row r="27">
          <cell r="A27" t="str">
            <v>Supervisão de Comissionamento - Equipamentos Mecânicos</v>
          </cell>
        </row>
        <row r="28">
          <cell r="A28" t="str">
            <v>Supervisão de Montagem - Equipamentos Mecânicos</v>
          </cell>
        </row>
        <row r="29">
          <cell r="A29" t="str">
            <v>Supervisão de Comissionamento - Equipamentos Elétricos</v>
          </cell>
        </row>
        <row r="30">
          <cell r="A30" t="str">
            <v>Supervisão Montagem - Equipamentos Mecânicos 2</v>
          </cell>
        </row>
        <row r="31">
          <cell r="A31" t="str">
            <v>Supervisão Comissionamento - Equipamentos Mecânicos 2</v>
          </cell>
        </row>
        <row r="32">
          <cell r="A32" t="str">
            <v>Teste Elétrica -</v>
          </cell>
        </row>
        <row r="33">
          <cell r="A33" t="str">
            <v>Teste Mecânica -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B658E-E59E-42EC-A828-CE291A108FFD}">
  <sheetPr codeName="Planilha3"/>
  <dimension ref="A1:AX89"/>
  <sheetViews>
    <sheetView tabSelected="1" topLeftCell="AD1" workbookViewId="0">
      <selection activeCell="AV14" sqref="AV14"/>
    </sheetView>
  </sheetViews>
  <sheetFormatPr defaultRowHeight="15" x14ac:dyDescent="0.25"/>
  <cols>
    <col min="13" max="17" width="9.140625" style="18"/>
    <col min="18" max="18" width="9.140625" style="19"/>
    <col min="19" max="19" width="9.140625" style="18"/>
    <col min="20" max="20" width="25.7109375" style="18" bestFit="1" customWidth="1"/>
    <col min="21" max="21" width="9.140625" style="18"/>
    <col min="26" max="26" width="9.140625" style="19"/>
  </cols>
  <sheetData>
    <row r="1" spans="1:50" x14ac:dyDescent="0.25">
      <c r="A1" t="s">
        <v>555</v>
      </c>
      <c r="B1" t="s">
        <v>556</v>
      </c>
      <c r="C1" t="s">
        <v>557</v>
      </c>
      <c r="D1" t="s">
        <v>72</v>
      </c>
      <c r="E1" t="s">
        <v>558</v>
      </c>
      <c r="F1" t="s">
        <v>559</v>
      </c>
      <c r="G1" t="s">
        <v>476</v>
      </c>
      <c r="H1" t="s">
        <v>560</v>
      </c>
      <c r="I1" t="s">
        <v>561</v>
      </c>
      <c r="J1" t="s">
        <v>562</v>
      </c>
      <c r="K1" t="s">
        <v>563</v>
      </c>
      <c r="L1" t="s">
        <v>564</v>
      </c>
    </row>
    <row r="2" spans="1:50" x14ac:dyDescent="0.25">
      <c r="A2" t="s">
        <v>565</v>
      </c>
      <c r="B2" t="s">
        <v>566</v>
      </c>
      <c r="C2">
        <v>2000</v>
      </c>
      <c r="D2">
        <v>2340</v>
      </c>
      <c r="E2" t="s">
        <v>542</v>
      </c>
      <c r="F2" t="s">
        <v>478</v>
      </c>
      <c r="G2" t="s">
        <v>567</v>
      </c>
      <c r="H2" t="s">
        <v>568</v>
      </c>
      <c r="I2">
        <v>1</v>
      </c>
      <c r="J2" t="s">
        <v>549</v>
      </c>
      <c r="K2" t="s">
        <v>569</v>
      </c>
      <c r="L2" t="s">
        <v>570</v>
      </c>
      <c r="M2" s="18" t="str">
        <f t="shared" ref="M2:M33" si="0">Alinhar(E2,D2,F2,H2)</f>
        <v>012340011FERR2000-05002_2340</v>
      </c>
      <c r="N2" s="18" t="str">
        <f t="shared" ref="N2:N33" si="1">Servv(E2)</f>
        <v>OPP</v>
      </c>
      <c r="O2" s="18" t="str">
        <f t="shared" ref="O2:O33" si="2">_xlfn.CONCAT(N2,D2)</f>
        <v>OPP2340</v>
      </c>
      <c r="P2" s="18" t="str">
        <f t="shared" ref="P2:P33" si="3">_xlfn.CONCAT(O2,F2)</f>
        <v>OPP2340Mecânica</v>
      </c>
      <c r="Q2" s="18" t="str">
        <f t="shared" ref="Q2:Q33" si="4">_xlfn.CONCAT(P2,E2)</f>
        <v>OPP2340Mecânica#Fornecimento de Equipamento</v>
      </c>
      <c r="R2" s="19" t="s">
        <v>651</v>
      </c>
      <c r="S2" s="18">
        <f t="shared" ref="S2:S33" si="5">VerificarValor(Q1, Q2, S1)</f>
        <v>1</v>
      </c>
      <c r="T2" s="18" t="str">
        <f t="shared" ref="T2:T33" si="6">EAP(E2,D2,F2,S2,R2)</f>
        <v>EBN.OPP.2340.INM-01-0101</v>
      </c>
      <c r="U2" s="18" t="str">
        <f>IF(AND(J2&lt;&gt;"FIXO",E2="Fornecimento de Equipamento"),"#"&amp;montDes(E2,G2,H2),montDes(E2,G2,H2))</f>
        <v>#Fornecimento de Equipamento - CARRO PORTA FERRAMENTAS; 4 MÓDULOS POR GAVETA; CAPACIDADE TOTAL DE CARGA DE 175 A 210 kg EM GAVETAS, DIMENSÕES DA BANCADA - 797 X 461; EQUIPADO COM 4 RODÍZIOS DE 125 mm, SENDO 2 GIRATÓRIOS (1 COM FREIO) E 2 FIXOS. DIMENSÕES DO CARRO - (L x P x A) - 1004 x - FERR2000-05002_2340</v>
      </c>
      <c r="V2" t="str">
        <f t="shared" ref="V2:V33" si="7">H2</f>
        <v>FERR2000-05002_2340</v>
      </c>
      <c r="W2" t="str">
        <f t="shared" ref="W2:W33" si="8">IF(E2 = "Preservação","UN/mês","UN")</f>
        <v>UN</v>
      </c>
      <c r="X2" t="s">
        <v>673</v>
      </c>
      <c r="Y2">
        <f t="shared" ref="Y2:Y33" si="9">I2</f>
        <v>1</v>
      </c>
      <c r="Z2" s="19" t="s">
        <v>651</v>
      </c>
      <c r="AA2" t="str">
        <f t="shared" ref="AA2:AA33" si="10">IF(_xlfn.CONCAT(E2," - ",F2)="Montagem - Mecânica",_xlfn.CONCAT(E2," - ",F2," - ",J2),_xlfn.CONCAT(E2," - ",F2))</f>
        <v>#Fornecimento de Equipamento - Mecânica</v>
      </c>
      <c r="AB2" t="str">
        <f t="shared" ref="AB2:AB33" si="11">codImporta(C2,A2,Z2)</f>
        <v>62151101</v>
      </c>
      <c r="AC2" t="str">
        <f>_xlfn.XLOOKUP(AA2,referencia!A:A,referencia!B:B,"Error",0,1)</f>
        <v>97000109</v>
      </c>
      <c r="AD2" t="str">
        <f t="shared" ref="AD2:AD33" si="12">L2</f>
        <v>0,0571</v>
      </c>
      <c r="AE2" t="str">
        <f>IF(OR(E2 = "Fornecimento de Equipamento",E2 ="#Fornecimento de Equipamento"),codMateriais(C2,A2,Z2),"")</f>
        <v>22151001</v>
      </c>
      <c r="AG2" t="str">
        <f t="shared" ref="AG2:AG33" si="13">IF(OR(E2 = "Fornecimento de Equipamento",E2 ="#Fornecimento de Equipamento"),_xlfn.CONCAT(G2," - ",H2),"")</f>
        <v>CARRO PORTA FERRAMENTAS; 4 MÓDULOS POR GAVETA; CAPACIDADE TOTAL DE CARGA DE 175 A 210 kg EM GAVETAS, DIMENSÕES DA BANCADA - 797 X 461; EQUIPADO COM 4 RODÍZIOS DE 125 mm, SENDO 2 GIRATÓRIOS (1 COM FREIO) E 2 FIXOS. DIMENSÕES DO CARRO - (L x P x A) - 1004 x - FERR2000-05002_2340</v>
      </c>
      <c r="AH2" t="str">
        <f t="shared" ref="AH2:AH33" si="14">IF(OR(E2 = "Fornecimento de Equipamento",E2 ="#Fornecimento de Equipamento"),W2,"")</f>
        <v>UN</v>
      </c>
      <c r="AI2" t="str">
        <f t="shared" ref="AI2:AI33" si="15">IF(OR(E2 = "Fornecimento de Equipamento",E2 ="#Fornecimento de Equipamento"),K2,"")</f>
        <v>1.772,07</v>
      </c>
      <c r="AJ2" t="str">
        <f t="shared" ref="AJ2:AJ33" si="16">IF(OR(E2 = "Fornecimento de Equipamento",E2 ="#Fornecimento de Equipamento"),"R$","")</f>
        <v>R$</v>
      </c>
      <c r="AK2">
        <f>IF(AND(E2 &lt;&gt; "*Supervisão*", E2 &lt;&gt; "Hookup Elétrico", E2 &lt;&gt; "Hookup Instrumentação", E2 &lt;&gt; "Hookup Tubulação"),VLOOKUP(AC2,referencia!$B$2:$C$29,2,FALSE),"")</f>
        <v>93.304067930797274</v>
      </c>
      <c r="AL2" t="str">
        <f t="shared" ref="AL2:AL33" si="17">IF(AND(E2 &lt;&gt; "*Supervisão*", E2 &lt;&gt; "Hookup Elétrico", E2 &lt;&gt; "Hookup Instrumentação", E2 &lt;&gt; "Hookup Tubulação"), AB2, "")</f>
        <v>62151101</v>
      </c>
      <c r="AM2" t="str">
        <f>IF(AND(E2 &lt;&gt; "*Supervisão*", E2 &lt;&gt; "Hookup Elétrico", E2 &lt;&gt; "Hookup Instrumentação", E2 &lt;&gt; "Hookup Tubulação"),IF(OR(E2 = "Fornecimento de Equipamento",E2 ="#Fornecimento de Equipamento"),AE2,VLOOKUP(AC2,referencia!$B$2:$D$29,3,FALSE)),"")</f>
        <v>22151001</v>
      </c>
      <c r="AN2">
        <f>IF(AND(E2 &lt;&gt; "*Supervisão*", E2 &lt;&gt; "Hookup Elétrico", E2 &lt;&gt; "Hookup Instrumentação", E2 &lt;&gt; "Hookup Tubulação"),IF(OR(E2 = "Fornecimento de Equipamento",E2 ="#Fornecimento de Equipamento"),1,AD2*AK2),"")</f>
        <v>1</v>
      </c>
      <c r="AO2" t="str">
        <f>IF($E2 = "Preservação",VLOOKUP(AC2,referencia!$B$1:$G$29,6,FALSE),"")</f>
        <v/>
      </c>
      <c r="AP2" t="str">
        <f t="shared" ref="AP2:AP33" si="18">IF($E2 = "Preservação",AL2,"")</f>
        <v/>
      </c>
      <c r="AQ2" t="str">
        <f>IF($E2 = "Preservação",VLOOKUP(AC2,referencia!$B$1:$F$29,5,FALSE),"")</f>
        <v/>
      </c>
      <c r="AR2" t="str">
        <f t="shared" ref="AR2:AR33" si="19">IF($E2 = "Preservação",((AK2*AD2)*0.05)/AO2,"")</f>
        <v/>
      </c>
      <c r="AS2">
        <f>VLOOKUP(AC2,referencia!$B$2:$E$29,4,FALSE)</f>
        <v>0</v>
      </c>
      <c r="AT2">
        <f t="shared" ref="AT2:AT33" si="20">IF(OR(E2="Fornecimento de Equipamento",E2="#Fornecimento de Equipamento"),K2+(AK2*AD2),((AD2*AK2)+(AN2*AS2)+(IF(AO2 = "",0,AO2)*IF(AR2 = "",0,AR2))))</f>
        <v>1777.3976622788484</v>
      </c>
      <c r="AU2">
        <f t="shared" ref="AU2:AU33" si="21">AT2*I2</f>
        <v>1777.3976622788484</v>
      </c>
      <c r="AV2">
        <f>ROUND(IF(AND(J2="MÓVEL",E2 = "#Fornecimento de Equipamento"),AT2*1.2376,AT2*1.3192),2)</f>
        <v>2199.71</v>
      </c>
      <c r="AW2">
        <f t="shared" ref="AW2:AW33" si="22">AV2*I2</f>
        <v>2199.71</v>
      </c>
      <c r="AX2" t="str">
        <f>IF(AND(J2="MÓVEL",OR(E2 = "#Fornecimento de Equipamento",E2 = "Fornecimento de Equipamento")),"Bate","Diferente")</f>
        <v>Bate</v>
      </c>
    </row>
    <row r="3" spans="1:50" x14ac:dyDescent="0.25">
      <c r="A3" t="s">
        <v>565</v>
      </c>
      <c r="B3" t="s">
        <v>566</v>
      </c>
      <c r="C3">
        <v>2000</v>
      </c>
      <c r="D3">
        <v>2340</v>
      </c>
      <c r="E3" t="s">
        <v>542</v>
      </c>
      <c r="F3" t="s">
        <v>478</v>
      </c>
      <c r="G3" t="s">
        <v>571</v>
      </c>
      <c r="H3" t="s">
        <v>572</v>
      </c>
      <c r="I3">
        <v>8</v>
      </c>
      <c r="J3" t="s">
        <v>549</v>
      </c>
      <c r="K3" t="s">
        <v>573</v>
      </c>
      <c r="L3" t="s">
        <v>574</v>
      </c>
      <c r="M3" s="18" t="str">
        <f t="shared" si="0"/>
        <v>012340011FERR2000-05016_2340</v>
      </c>
      <c r="N3" s="18" t="str">
        <f t="shared" si="1"/>
        <v>OPP</v>
      </c>
      <c r="O3" s="18" t="str">
        <f t="shared" si="2"/>
        <v>OPP2340</v>
      </c>
      <c r="P3" s="18" t="str">
        <f t="shared" si="3"/>
        <v>OPP2340Mecânica</v>
      </c>
      <c r="Q3" s="18" t="str">
        <f t="shared" si="4"/>
        <v>OPP2340Mecânica#Fornecimento de Equipamento</v>
      </c>
      <c r="R3" s="19" t="s">
        <v>652</v>
      </c>
      <c r="S3" s="18">
        <f t="shared" si="5"/>
        <v>1</v>
      </c>
      <c r="T3" s="18" t="str">
        <f t="shared" si="6"/>
        <v>EBN.OPP.2340.INM-01-0102</v>
      </c>
      <c r="U3" s="18" t="str">
        <f>IF(AND(J3&lt;&gt;"FIXO",E3="Fornecimento de Equipamento"),"#"&amp;montDes(E3,G3,H3),montDes(E3,G3,H3))</f>
        <v>#Fornecimento de Equipamento - JOGO DE CALÇOS EM FOLHA PLASTICA (8 FOLHAS POR KIT), COMPRIMENTO 305 mm X LARGURA 152 mm, COM A SEGUINTES MEDIDAS (ESPESSURA EM mm) - 0,05, 0,08, 0,1, 0,13, 0,19, 0,25, 0,38 E 0,51 - FERR2000-05016_2340</v>
      </c>
      <c r="V3" t="str">
        <f t="shared" si="7"/>
        <v>FERR2000-05016_2340</v>
      </c>
      <c r="W3" t="str">
        <f t="shared" si="8"/>
        <v>UN</v>
      </c>
      <c r="X3" t="s">
        <v>673</v>
      </c>
      <c r="Y3">
        <f t="shared" si="9"/>
        <v>8</v>
      </c>
      <c r="Z3" s="19" t="s">
        <v>652</v>
      </c>
      <c r="AA3" t="str">
        <f t="shared" si="10"/>
        <v>#Fornecimento de Equipamento - Mecânica</v>
      </c>
      <c r="AB3" t="str">
        <f t="shared" si="11"/>
        <v>62151102</v>
      </c>
      <c r="AC3" t="str">
        <f>_xlfn.XLOOKUP(AA3,referencia!A:A,referencia!B:B,"Error",0,1)</f>
        <v>97000109</v>
      </c>
      <c r="AD3" t="str">
        <f t="shared" si="12"/>
        <v>0,0986</v>
      </c>
      <c r="AE3" t="str">
        <f>IF(OR(E3 = "Fornecimento de Equipamento",E3 ="#Fornecimento de Equipamento"),codMateriais(C3,A3,Z3),"")</f>
        <v>22151002</v>
      </c>
      <c r="AG3" t="str">
        <f t="shared" si="13"/>
        <v>JOGO DE CALÇOS EM FOLHA PLASTICA (8 FOLHAS POR KIT), COMPRIMENTO 305 mm X LARGURA 152 mm, COM A SEGUINTES MEDIDAS (ESPESSURA EM mm) - 0,05, 0,08, 0,1, 0,13, 0,19, 0,25, 0,38 E 0,51 - FERR2000-05016_2340</v>
      </c>
      <c r="AH3" t="str">
        <f t="shared" si="14"/>
        <v>UN</v>
      </c>
      <c r="AI3" t="str">
        <f t="shared" si="15"/>
        <v>3.061,63</v>
      </c>
      <c r="AJ3" t="str">
        <f t="shared" si="16"/>
        <v>R$</v>
      </c>
      <c r="AK3">
        <f>IF(AND(E3 &lt;&gt; "*Supervisão*", E3 &lt;&gt; "Hookup Elétrico", E3 &lt;&gt; "Hookup Instrumentação", E3 &lt;&gt; "Hookup Tubulação"),VLOOKUP(AC3,referencia!$B$2:$C$29,2,FALSE),"")</f>
        <v>93.304067930797274</v>
      </c>
      <c r="AL3" t="str">
        <f t="shared" si="17"/>
        <v>62151102</v>
      </c>
      <c r="AM3" t="str">
        <f>IF(AND(E3 &lt;&gt; "*Supervisão*", E3 &lt;&gt; "Hookup Elétrico", E3 &lt;&gt; "Hookup Instrumentação", E3 &lt;&gt; "Hookup Tubulação"),IF(OR(E3 = "Fornecimento de Equipamento",E3 ="#Fornecimento de Equipamento"),AE3,VLOOKUP(AC3,referencia!$B$2:$D$29,3,FALSE)),"")</f>
        <v>22151002</v>
      </c>
      <c r="AN3">
        <f>IF(AND(E3 &lt;&gt; "*Supervisão*", E3 &lt;&gt; "Hookup Elétrico", E3 &lt;&gt; "Hookup Instrumentação", E3 &lt;&gt; "Hookup Tubulação"),IF(OR(E3 = "Fornecimento de Equipamento",E3 ="#Fornecimento de Equipamento"),1,AD3*AK3),"")</f>
        <v>1</v>
      </c>
      <c r="AO3" t="str">
        <f>IF($E3 = "Preservação",VLOOKUP(AC3,referencia!$B$1:$G$29,6,FALSE),"")</f>
        <v/>
      </c>
      <c r="AP3" t="str">
        <f t="shared" si="18"/>
        <v/>
      </c>
      <c r="AQ3" t="str">
        <f>IF($E3 = "Preservação",VLOOKUP(AC3,referencia!$B$1:$F$29,5,FALSE),"")</f>
        <v/>
      </c>
      <c r="AR3" t="str">
        <f t="shared" si="19"/>
        <v/>
      </c>
      <c r="AS3">
        <f>VLOOKUP(AC3,referencia!$B$2:$E$29,4,FALSE)</f>
        <v>0</v>
      </c>
      <c r="AT3">
        <f t="shared" si="20"/>
        <v>3070.8297810979766</v>
      </c>
      <c r="AU3">
        <f t="shared" si="21"/>
        <v>24566.638248783813</v>
      </c>
      <c r="AV3">
        <f>ROUND(IF(AND(J3="MÓVEL",E3 = "#Fornecimento de Equipamento"),AT3*1.2376,AT3*1.3192),2)</f>
        <v>3800.46</v>
      </c>
      <c r="AW3">
        <f t="shared" si="22"/>
        <v>30403.68</v>
      </c>
      <c r="AX3" t="str">
        <f t="shared" ref="AX3:AX66" si="23">IF(AND(J3="MÓVEL",OR(E3 = "#Fornecimento de Equipamento",E3 = "Fornecimento de Equipamento")),"Bate","Diferente")</f>
        <v>Bate</v>
      </c>
    </row>
    <row r="4" spans="1:50" x14ac:dyDescent="0.25">
      <c r="A4" t="s">
        <v>565</v>
      </c>
      <c r="B4" t="s">
        <v>566</v>
      </c>
      <c r="C4">
        <v>2000</v>
      </c>
      <c r="D4">
        <v>2340</v>
      </c>
      <c r="E4" t="s">
        <v>542</v>
      </c>
      <c r="F4" t="s">
        <v>478</v>
      </c>
      <c r="G4" t="s">
        <v>575</v>
      </c>
      <c r="H4" t="s">
        <v>576</v>
      </c>
      <c r="I4">
        <v>1</v>
      </c>
      <c r="J4" t="s">
        <v>549</v>
      </c>
      <c r="K4" t="s">
        <v>577</v>
      </c>
      <c r="L4" t="s">
        <v>578</v>
      </c>
      <c r="M4" s="18" t="str">
        <f t="shared" si="0"/>
        <v>012340011FERR2000-05023_2340</v>
      </c>
      <c r="N4" s="18" t="str">
        <f t="shared" si="1"/>
        <v>OPP</v>
      </c>
      <c r="O4" s="18" t="str">
        <f t="shared" si="2"/>
        <v>OPP2340</v>
      </c>
      <c r="P4" s="18" t="str">
        <f t="shared" si="3"/>
        <v>OPP2340Mecânica</v>
      </c>
      <c r="Q4" s="18" t="str">
        <f t="shared" si="4"/>
        <v>OPP2340Mecânica#Fornecimento de Equipamento</v>
      </c>
      <c r="R4" s="19" t="s">
        <v>653</v>
      </c>
      <c r="S4" s="18">
        <f t="shared" si="5"/>
        <v>1</v>
      </c>
      <c r="T4" s="18" t="str">
        <f t="shared" si="6"/>
        <v>EBN.OPP.2340.INM-01-0103</v>
      </c>
      <c r="U4" s="18" t="str">
        <f>IF(AND(J4&lt;&gt;"FIXO",E4="Fornecimento de Equipamento"),"#"&amp;montDes(E4,G4,H4),montDes(E4,G4,H4))</f>
        <v>#Fornecimento de Equipamento - SOPRADOR TÉRMICO, 2 KW DE POTÊNCIA, TENSÃO 220 A 240V, 60 Hz, TEMPERATURA MÁXIMA 550ºC; PESO 750 g. COM ACESSÓRIOS INCLUSOS (Bocal 4pcs (bocal refletor, bocal protetor de vidro, bocal cônico, bocal rabo de peixe) – 1 RASPADOR – CABO DE PLASTICO - FERR2000-05023_2340</v>
      </c>
      <c r="V4" t="str">
        <f t="shared" si="7"/>
        <v>FERR2000-05023_2340</v>
      </c>
      <c r="W4" t="str">
        <f t="shared" si="8"/>
        <v>UN</v>
      </c>
      <c r="X4" t="s">
        <v>673</v>
      </c>
      <c r="Y4">
        <f t="shared" si="9"/>
        <v>1</v>
      </c>
      <c r="Z4" s="19" t="s">
        <v>653</v>
      </c>
      <c r="AA4" t="str">
        <f t="shared" si="10"/>
        <v>#Fornecimento de Equipamento - Mecânica</v>
      </c>
      <c r="AB4" t="str">
        <f t="shared" si="11"/>
        <v>62151103</v>
      </c>
      <c r="AC4" t="str">
        <f>_xlfn.XLOOKUP(AA4,referencia!A:A,referencia!B:B,"Error",0,1)</f>
        <v>97000109</v>
      </c>
      <c r="AD4" t="str">
        <f t="shared" si="12"/>
        <v>0,0674</v>
      </c>
      <c r="AE4" t="str">
        <f>IF(OR(E4 = "Fornecimento de Equipamento",E4 ="#Fornecimento de Equipamento"),codMateriais(C4,A4,Z4),"")</f>
        <v>22151003</v>
      </c>
      <c r="AG4" t="str">
        <f t="shared" si="13"/>
        <v>SOPRADOR TÉRMICO, 2 KW DE POTÊNCIA, TENSÃO 220 A 240V, 60 Hz, TEMPERATURA MÁXIMA 550ºC; PESO 750 g. COM ACESSÓRIOS INCLUSOS (Bocal 4pcs (bocal refletor, bocal protetor de vidro, bocal cônico, bocal rabo de peixe) – 1 RASPADOR – CABO DE PLASTICO - FERR2000-05023_2340</v>
      </c>
      <c r="AH4" t="str">
        <f t="shared" si="14"/>
        <v>UN</v>
      </c>
      <c r="AI4" t="str">
        <f t="shared" si="15"/>
        <v>125,35</v>
      </c>
      <c r="AJ4" t="str">
        <f t="shared" si="16"/>
        <v>R$</v>
      </c>
      <c r="AK4">
        <f>IF(AND(E4 &lt;&gt; "*Supervisão*", E4 &lt;&gt; "Hookup Elétrico", E4 &lt;&gt; "Hookup Instrumentação", E4 &lt;&gt; "Hookup Tubulação"),VLOOKUP(AC4,referencia!$B$2:$C$29,2,FALSE),"")</f>
        <v>93.304067930797274</v>
      </c>
      <c r="AL4" t="str">
        <f t="shared" si="17"/>
        <v>62151103</v>
      </c>
      <c r="AM4" t="str">
        <f>IF(AND(E4 &lt;&gt; "*Supervisão*", E4 &lt;&gt; "Hookup Elétrico", E4 &lt;&gt; "Hookup Instrumentação", E4 &lt;&gt; "Hookup Tubulação"),IF(OR(E4 = "Fornecimento de Equipamento",E4 ="#Fornecimento de Equipamento"),AE4,VLOOKUP(AC4,referencia!$B$2:$D$29,3,FALSE)),"")</f>
        <v>22151003</v>
      </c>
      <c r="AN4">
        <f t="shared" ref="AN4:AN67" si="24">IF(AND(E4 &lt;&gt; "*Supervisão*", E4 &lt;&gt; "Hookup Elétrico", E4 &lt;&gt; "Hookup Instrumentação", E4 &lt;&gt; "Hookup Tubulação"),IF(OR(E4 = "Fornecimento de Equipamento",E4 ="#Fornecimento de Equipamento"),1,AD4*AK4),"")</f>
        <v>1</v>
      </c>
      <c r="AO4" t="str">
        <f>IF($E4 = "Preservação",VLOOKUP(AC4,referencia!$B$1:$G$29,6,FALSE),"")</f>
        <v/>
      </c>
      <c r="AP4" t="str">
        <f t="shared" si="18"/>
        <v/>
      </c>
      <c r="AQ4" t="str">
        <f>IF($E4 = "Preservação",VLOOKUP(AC4,referencia!$B$1:$F$29,5,FALSE),"")</f>
        <v/>
      </c>
      <c r="AR4" t="str">
        <f t="shared" si="19"/>
        <v/>
      </c>
      <c r="AS4">
        <f>VLOOKUP(AC4,referencia!$B$2:$E$29,4,FALSE)</f>
        <v>0</v>
      </c>
      <c r="AT4">
        <f t="shared" si="20"/>
        <v>131.63869417853573</v>
      </c>
      <c r="AU4">
        <f t="shared" si="21"/>
        <v>131.63869417853573</v>
      </c>
      <c r="AV4">
        <f>ROUND(IF(AND(J4="MÓVEL",E4 = "#Fornecimento de Equipamento"),AT4*1.2376,AT4*1.3192),2)</f>
        <v>162.91999999999999</v>
      </c>
      <c r="AW4">
        <f t="shared" si="22"/>
        <v>162.91999999999999</v>
      </c>
      <c r="AX4" t="str">
        <f>IF(AND(J4="MÓVEL",OR(E4 &lt;&gt; "#Fornecimento de Equipamento",E4 &lt;&gt; "Fornecimento de Equipamento")),"Bate","Diferente")</f>
        <v>Bate</v>
      </c>
    </row>
    <row r="5" spans="1:50" x14ac:dyDescent="0.25">
      <c r="A5" t="s">
        <v>565</v>
      </c>
      <c r="B5" t="s">
        <v>566</v>
      </c>
      <c r="C5">
        <v>2000</v>
      </c>
      <c r="D5">
        <v>2340</v>
      </c>
      <c r="E5" t="s">
        <v>542</v>
      </c>
      <c r="F5" t="s">
        <v>478</v>
      </c>
      <c r="G5" t="s">
        <v>579</v>
      </c>
      <c r="H5" t="s">
        <v>580</v>
      </c>
      <c r="I5">
        <v>1</v>
      </c>
      <c r="J5" t="s">
        <v>549</v>
      </c>
      <c r="K5" t="s">
        <v>581</v>
      </c>
      <c r="L5" t="s">
        <v>582</v>
      </c>
      <c r="M5" s="18" t="str">
        <f t="shared" si="0"/>
        <v>012340011FERR2000-05024_2340</v>
      </c>
      <c r="N5" s="18" t="str">
        <f t="shared" si="1"/>
        <v>OPP</v>
      </c>
      <c r="O5" s="18" t="str">
        <f t="shared" si="2"/>
        <v>OPP2340</v>
      </c>
      <c r="P5" s="18" t="str">
        <f t="shared" si="3"/>
        <v>OPP2340Mecânica</v>
      </c>
      <c r="Q5" s="18" t="str">
        <f t="shared" si="4"/>
        <v>OPP2340Mecânica#Fornecimento de Equipamento</v>
      </c>
      <c r="R5" s="19" t="s">
        <v>654</v>
      </c>
      <c r="S5" s="18">
        <f t="shared" si="5"/>
        <v>1</v>
      </c>
      <c r="T5" s="18" t="str">
        <f t="shared" si="6"/>
        <v>EBN.OPP.2340.INM-01-0104</v>
      </c>
      <c r="U5" s="18" t="str">
        <f>IF(AND(J5&lt;&gt;"FIXO",E5="Fornecimento de Equipamento"),"#"&amp;montDes(E5,G5,H5),montDes(E5,G5,H5))</f>
        <v>#Fornecimento de Equipamento - Barra de bronze fosforoso, Ø 3/4", comprimnto 330 mm, dureza 120 HB, resistência a tração - 420N/mm², condutibilidade térmica 47W/mK; - FERR2000-05024_2340</v>
      </c>
      <c r="V5" t="str">
        <f t="shared" si="7"/>
        <v>FERR2000-05024_2340</v>
      </c>
      <c r="W5" t="str">
        <f t="shared" si="8"/>
        <v>UN</v>
      </c>
      <c r="X5" t="s">
        <v>673</v>
      </c>
      <c r="Y5">
        <f t="shared" si="9"/>
        <v>1</v>
      </c>
      <c r="Z5" s="19" t="s">
        <v>654</v>
      </c>
      <c r="AA5" t="str">
        <f t="shared" si="10"/>
        <v>#Fornecimento de Equipamento - Mecânica</v>
      </c>
      <c r="AB5" t="str">
        <f t="shared" si="11"/>
        <v>62151104</v>
      </c>
      <c r="AC5" t="str">
        <f>_xlfn.XLOOKUP(AA5,referencia!A:A,referencia!B:B,"Error",0,1)</f>
        <v>97000109</v>
      </c>
      <c r="AD5" t="str">
        <f t="shared" si="12"/>
        <v>0,7185</v>
      </c>
      <c r="AE5" t="str">
        <f>IF(OR(E5 = "Fornecimento de Equipamento",E5 ="#Fornecimento de Equipamento"),codMateriais(C5,A5,Z5),"")</f>
        <v>22151004</v>
      </c>
      <c r="AG5" t="str">
        <f t="shared" si="13"/>
        <v>Barra de bronze fosforoso, Ø 3/4", comprimnto 330 mm, dureza 120 HB, resistência a tração - 420N/mm², condutibilidade térmica 47W/mK; - FERR2000-05024_2340</v>
      </c>
      <c r="AH5" t="str">
        <f t="shared" si="14"/>
        <v>UN</v>
      </c>
      <c r="AI5" t="str">
        <f t="shared" si="15"/>
        <v>1.337,12</v>
      </c>
      <c r="AJ5" t="str">
        <f t="shared" si="16"/>
        <v>R$</v>
      </c>
      <c r="AK5">
        <f>IF(AND(E5 &lt;&gt; "*Supervisão*", E5 &lt;&gt; "Hookup Elétrico", E5 &lt;&gt; "Hookup Instrumentação", E5 &lt;&gt; "Hookup Tubulação"),VLOOKUP(AC5,referencia!$B$2:$C$29,2,FALSE),"")</f>
        <v>93.304067930797274</v>
      </c>
      <c r="AL5" t="str">
        <f t="shared" si="17"/>
        <v>62151104</v>
      </c>
      <c r="AM5" t="str">
        <f>IF(AND(E5 &lt;&gt; "*Supervisão*", E5 &lt;&gt; "Hookup Elétrico", E5 &lt;&gt; "Hookup Instrumentação", E5 &lt;&gt; "Hookup Tubulação"),IF(OR(E5 = "Fornecimento de Equipamento",E5 ="#Fornecimento de Equipamento"),AE5,VLOOKUP(AC5,referencia!$B$2:$D$29,3,FALSE)),"")</f>
        <v>22151004</v>
      </c>
      <c r="AN5">
        <f t="shared" si="24"/>
        <v>1</v>
      </c>
      <c r="AO5" t="str">
        <f>IF($E5 = "Preservação",VLOOKUP(AC5,referencia!$B$1:$G$29,6,FALSE),"")</f>
        <v/>
      </c>
      <c r="AP5" t="str">
        <f t="shared" si="18"/>
        <v/>
      </c>
      <c r="AQ5" t="str">
        <f>IF($E5 = "Preservação",VLOOKUP(AC5,referencia!$B$1:$F$29,5,FALSE),"")</f>
        <v/>
      </c>
      <c r="AR5" t="str">
        <f t="shared" si="19"/>
        <v/>
      </c>
      <c r="AS5">
        <f>VLOOKUP(AC5,referencia!$B$2:$E$29,4,FALSE)</f>
        <v>0</v>
      </c>
      <c r="AT5">
        <f t="shared" si="20"/>
        <v>1404.1589728082777</v>
      </c>
      <c r="AU5">
        <f t="shared" si="21"/>
        <v>1404.1589728082777</v>
      </c>
      <c r="AV5">
        <f>ROUND(IF(AND(J5="MÓVEL",E5 = "#Fornecimento de Equipamento"),AT5*1.2376,AT5*1.3192),2)</f>
        <v>1737.79</v>
      </c>
      <c r="AW5">
        <f t="shared" si="22"/>
        <v>1737.79</v>
      </c>
      <c r="AX5" t="str">
        <f t="shared" si="23"/>
        <v>Bate</v>
      </c>
    </row>
    <row r="6" spans="1:50" x14ac:dyDescent="0.25">
      <c r="A6" t="s">
        <v>565</v>
      </c>
      <c r="B6" t="s">
        <v>566</v>
      </c>
      <c r="C6">
        <v>2000</v>
      </c>
      <c r="D6">
        <v>2340</v>
      </c>
      <c r="E6" t="s">
        <v>542</v>
      </c>
      <c r="F6" t="s">
        <v>478</v>
      </c>
      <c r="G6" t="s">
        <v>583</v>
      </c>
      <c r="H6" t="s">
        <v>584</v>
      </c>
      <c r="I6">
        <v>2</v>
      </c>
      <c r="J6" t="s">
        <v>549</v>
      </c>
      <c r="K6" t="s">
        <v>585</v>
      </c>
      <c r="L6" t="s">
        <v>586</v>
      </c>
      <c r="M6" s="18" t="str">
        <f t="shared" si="0"/>
        <v>012340011FERR2000-05031_2340</v>
      </c>
      <c r="N6" s="18" t="str">
        <f t="shared" si="1"/>
        <v>OPP</v>
      </c>
      <c r="O6" s="18" t="str">
        <f t="shared" si="2"/>
        <v>OPP2340</v>
      </c>
      <c r="P6" s="18" t="str">
        <f t="shared" si="3"/>
        <v>OPP2340Mecânica</v>
      </c>
      <c r="Q6" s="18" t="str">
        <f t="shared" si="4"/>
        <v>OPP2340Mecânica#Fornecimento de Equipamento</v>
      </c>
      <c r="R6" s="19" t="s">
        <v>655</v>
      </c>
      <c r="S6" s="18">
        <f t="shared" si="5"/>
        <v>1</v>
      </c>
      <c r="T6" s="18" t="str">
        <f t="shared" si="6"/>
        <v>EBN.OPP.2340.INM-01-0105</v>
      </c>
      <c r="U6" s="18" t="str">
        <f>IF(AND(J6&lt;&gt;"FIXO",E6="Fornecimento de Equipamento"),"#"&amp;montDes(E6,G6,H6),montDes(E6,G6,H6))</f>
        <v>#Fornecimento de Equipamento - Cabeça para chave dinamométrica - referência FACOM S.372 - quadrado de 1/2". - FERR2000-05031_2340</v>
      </c>
      <c r="V6" t="str">
        <f t="shared" si="7"/>
        <v>FERR2000-05031_2340</v>
      </c>
      <c r="W6" t="str">
        <f t="shared" si="8"/>
        <v>UN</v>
      </c>
      <c r="X6" t="s">
        <v>673</v>
      </c>
      <c r="Y6">
        <f t="shared" si="9"/>
        <v>2</v>
      </c>
      <c r="Z6" s="19" t="s">
        <v>655</v>
      </c>
      <c r="AA6" t="str">
        <f t="shared" si="10"/>
        <v>#Fornecimento de Equipamento - Mecânica</v>
      </c>
      <c r="AB6" t="str">
        <f t="shared" si="11"/>
        <v>62151105</v>
      </c>
      <c r="AC6" t="str">
        <f>_xlfn.XLOOKUP(AA6,referencia!A:A,referencia!B:B,"Error",0,1)</f>
        <v>97000109</v>
      </c>
      <c r="AD6" t="str">
        <f t="shared" si="12"/>
        <v>0,0798</v>
      </c>
      <c r="AE6" t="str">
        <f>IF(OR(E6 = "Fornecimento de Equipamento",E6 ="#Fornecimento de Equipamento"),codMateriais(C6,A6,Z6),"")</f>
        <v>22151005</v>
      </c>
      <c r="AG6" t="str">
        <f t="shared" si="13"/>
        <v>Cabeça para chave dinamométrica - referência FACOM S.372 - quadrado de 1/2". - FERR2000-05031_2340</v>
      </c>
      <c r="AH6" t="str">
        <f t="shared" si="14"/>
        <v>UN</v>
      </c>
      <c r="AI6" t="str">
        <f t="shared" si="15"/>
        <v>846,48</v>
      </c>
      <c r="AJ6" t="str">
        <f t="shared" si="16"/>
        <v>R$</v>
      </c>
      <c r="AK6">
        <f>IF(AND(E6 &lt;&gt; "*Supervisão*", E6 &lt;&gt; "Hookup Elétrico", E6 &lt;&gt; "Hookup Instrumentação", E6 &lt;&gt; "Hookup Tubulação"),VLOOKUP(AC6,referencia!$B$2:$C$29,2,FALSE),"")</f>
        <v>93.304067930797274</v>
      </c>
      <c r="AL6" t="str">
        <f t="shared" si="17"/>
        <v>62151105</v>
      </c>
      <c r="AM6" t="str">
        <f>IF(AND(E6 &lt;&gt; "*Supervisão*", E6 &lt;&gt; "Hookup Elétrico", E6 &lt;&gt; "Hookup Instrumentação", E6 &lt;&gt; "Hookup Tubulação"),IF(OR(E6 = "Fornecimento de Equipamento",E6 ="#Fornecimento de Equipamento"),AE6,VLOOKUP(AC6,referencia!$B$2:$D$29,3,FALSE)),"")</f>
        <v>22151005</v>
      </c>
      <c r="AN6">
        <f t="shared" si="24"/>
        <v>1</v>
      </c>
      <c r="AO6" t="str">
        <f>IF($E6 = "Preservação",VLOOKUP(AC6,referencia!$B$1:$G$29,6,FALSE),"")</f>
        <v/>
      </c>
      <c r="AP6" t="str">
        <f t="shared" si="18"/>
        <v/>
      </c>
      <c r="AQ6" t="str">
        <f>IF($E6 = "Preservação",VLOOKUP(AC6,referencia!$B$1:$F$29,5,FALSE),"")</f>
        <v/>
      </c>
      <c r="AR6" t="str">
        <f t="shared" si="19"/>
        <v/>
      </c>
      <c r="AS6">
        <f>VLOOKUP(AC6,referencia!$B$2:$E$29,4,FALSE)</f>
        <v>0</v>
      </c>
      <c r="AT6">
        <f t="shared" si="20"/>
        <v>853.92566462087768</v>
      </c>
      <c r="AU6">
        <f t="shared" si="21"/>
        <v>1707.8513292417554</v>
      </c>
      <c r="AV6">
        <f t="shared" ref="AV6:AV69" si="25">ROUND(IF(AND(J6="MÓVEL",E6 = "#Fornecimento de Equipamento"),AT6*1.2376,AT6*1.3192),2)</f>
        <v>1056.82</v>
      </c>
      <c r="AW6">
        <f t="shared" si="22"/>
        <v>2113.64</v>
      </c>
      <c r="AX6" t="str">
        <f t="shared" si="23"/>
        <v>Bate</v>
      </c>
    </row>
    <row r="7" spans="1:50" x14ac:dyDescent="0.25">
      <c r="A7" t="s">
        <v>565</v>
      </c>
      <c r="B7" t="s">
        <v>566</v>
      </c>
      <c r="C7">
        <v>2000</v>
      </c>
      <c r="D7">
        <v>2340</v>
      </c>
      <c r="E7" t="s">
        <v>542</v>
      </c>
      <c r="F7" t="s">
        <v>478</v>
      </c>
      <c r="G7" t="s">
        <v>587</v>
      </c>
      <c r="H7" t="s">
        <v>588</v>
      </c>
      <c r="I7">
        <v>1</v>
      </c>
      <c r="J7" t="s">
        <v>549</v>
      </c>
      <c r="K7" t="s">
        <v>589</v>
      </c>
      <c r="L7" t="s">
        <v>590</v>
      </c>
      <c r="M7" s="18" t="str">
        <f t="shared" si="0"/>
        <v>012340011FERR2000-05032_2340</v>
      </c>
      <c r="N7" s="18" t="str">
        <f t="shared" si="1"/>
        <v>OPP</v>
      </c>
      <c r="O7" s="18" t="str">
        <f t="shared" si="2"/>
        <v>OPP2340</v>
      </c>
      <c r="P7" s="18" t="str">
        <f t="shared" si="3"/>
        <v>OPP2340Mecânica</v>
      </c>
      <c r="Q7" s="18" t="str">
        <f t="shared" si="4"/>
        <v>OPP2340Mecânica#Fornecimento de Equipamento</v>
      </c>
      <c r="R7" s="19" t="s">
        <v>656</v>
      </c>
      <c r="S7" s="18">
        <f t="shared" si="5"/>
        <v>1</v>
      </c>
      <c r="T7" s="18" t="str">
        <f t="shared" si="6"/>
        <v>EBN.OPP.2340.INM-01-0106</v>
      </c>
      <c r="U7" s="18" t="str">
        <f>IF(AND(J7&lt;&gt;"FIXO",E7="Fornecimento de Equipamento"),"#"&amp;montDes(E7,G7,H7),montDes(E7,G7,H7))</f>
        <v>#Fornecimento de Equipamento - Cabeça para chave dinamométrica - referência STAHLWILLE - 14 x 18 mm. - FERR2000-05032_2340</v>
      </c>
      <c r="V7" t="str">
        <f t="shared" si="7"/>
        <v>FERR2000-05032_2340</v>
      </c>
      <c r="W7" t="str">
        <f t="shared" si="8"/>
        <v>UN</v>
      </c>
      <c r="X7" t="s">
        <v>673</v>
      </c>
      <c r="Y7">
        <f t="shared" si="9"/>
        <v>1</v>
      </c>
      <c r="Z7" s="19" t="s">
        <v>656</v>
      </c>
      <c r="AA7" t="str">
        <f t="shared" si="10"/>
        <v>#Fornecimento de Equipamento - Mecânica</v>
      </c>
      <c r="AB7" t="str">
        <f t="shared" si="11"/>
        <v>62151106</v>
      </c>
      <c r="AC7" t="str">
        <f>_xlfn.XLOOKUP(AA7,referencia!A:A,referencia!B:B,"Error",0,1)</f>
        <v>97000109</v>
      </c>
      <c r="AD7" t="str">
        <f t="shared" si="12"/>
        <v>0,0654</v>
      </c>
      <c r="AE7" t="str">
        <f>IF(OR(E7 = "Fornecimento de Equipamento",E7 ="#Fornecimento de Equipamento"),codMateriais(C7,A7,Z7),"")</f>
        <v>22151006</v>
      </c>
      <c r="AG7" t="str">
        <f t="shared" si="13"/>
        <v>Cabeça para chave dinamométrica - referência STAHLWILLE - 14 x 18 mm. - FERR2000-05032_2340</v>
      </c>
      <c r="AH7" t="str">
        <f t="shared" si="14"/>
        <v>UN</v>
      </c>
      <c r="AI7" t="str">
        <f t="shared" si="15"/>
        <v>694,55</v>
      </c>
      <c r="AJ7" t="str">
        <f t="shared" si="16"/>
        <v>R$</v>
      </c>
      <c r="AK7">
        <f>IF(AND(E7 &lt;&gt; "*Supervisão*", E7 &lt;&gt; "Hookup Elétrico", E7 &lt;&gt; "Hookup Instrumentação", E7 &lt;&gt; "Hookup Tubulação"),VLOOKUP(AC7,referencia!$B$2:$C$29,2,FALSE),"")</f>
        <v>93.304067930797274</v>
      </c>
      <c r="AL7" t="str">
        <f t="shared" si="17"/>
        <v>62151106</v>
      </c>
      <c r="AM7" t="str">
        <f>IF(AND(E7 &lt;&gt; "*Supervisão*", E7 &lt;&gt; "Hookup Elétrico", E7 &lt;&gt; "Hookup Instrumentação", E7 &lt;&gt; "Hookup Tubulação"),IF(OR(E7 = "Fornecimento de Equipamento",E7 ="#Fornecimento de Equipamento"),AE7,VLOOKUP(AC7,referencia!$B$2:$D$29,3,FALSE)),"")</f>
        <v>22151006</v>
      </c>
      <c r="AN7">
        <f t="shared" si="24"/>
        <v>1</v>
      </c>
      <c r="AO7" t="str">
        <f>IF($E7 = "Preservação",VLOOKUP(AC7,referencia!$B$1:$G$29,6,FALSE),"")</f>
        <v/>
      </c>
      <c r="AP7" t="str">
        <f t="shared" si="18"/>
        <v/>
      </c>
      <c r="AQ7" t="str">
        <f>IF($E7 = "Preservação",VLOOKUP(AC7,referencia!$B$1:$F$29,5,FALSE),"")</f>
        <v/>
      </c>
      <c r="AR7" t="str">
        <f t="shared" si="19"/>
        <v/>
      </c>
      <c r="AS7">
        <f>VLOOKUP(AC7,referencia!$B$2:$E$29,4,FALSE)</f>
        <v>0</v>
      </c>
      <c r="AT7">
        <f t="shared" si="20"/>
        <v>700.65208604267411</v>
      </c>
      <c r="AU7">
        <f t="shared" si="21"/>
        <v>700.65208604267411</v>
      </c>
      <c r="AV7">
        <f t="shared" si="25"/>
        <v>867.13</v>
      </c>
      <c r="AW7">
        <f t="shared" si="22"/>
        <v>867.13</v>
      </c>
      <c r="AX7" t="str">
        <f t="shared" si="23"/>
        <v>Bate</v>
      </c>
    </row>
    <row r="8" spans="1:50" x14ac:dyDescent="0.25">
      <c r="A8" t="s">
        <v>565</v>
      </c>
      <c r="B8" t="s">
        <v>566</v>
      </c>
      <c r="C8">
        <v>2000</v>
      </c>
      <c r="D8">
        <v>2340</v>
      </c>
      <c r="E8" t="s">
        <v>542</v>
      </c>
      <c r="F8" t="s">
        <v>478</v>
      </c>
      <c r="G8" t="s">
        <v>591</v>
      </c>
      <c r="H8" t="s">
        <v>592</v>
      </c>
      <c r="I8">
        <v>1</v>
      </c>
      <c r="J8" t="s">
        <v>549</v>
      </c>
      <c r="K8" t="s">
        <v>593</v>
      </c>
      <c r="L8" t="s">
        <v>594</v>
      </c>
      <c r="M8" s="18" t="str">
        <f t="shared" si="0"/>
        <v>012340011FERR2000-05033_2340</v>
      </c>
      <c r="N8" s="18" t="str">
        <f t="shared" si="1"/>
        <v>OPP</v>
      </c>
      <c r="O8" s="18" t="str">
        <f t="shared" si="2"/>
        <v>OPP2340</v>
      </c>
      <c r="P8" s="18" t="str">
        <f t="shared" si="3"/>
        <v>OPP2340Mecânica</v>
      </c>
      <c r="Q8" s="18" t="str">
        <f t="shared" si="4"/>
        <v>OPP2340Mecânica#Fornecimento de Equipamento</v>
      </c>
      <c r="R8" s="19" t="s">
        <v>657</v>
      </c>
      <c r="S8" s="18">
        <f t="shared" si="5"/>
        <v>1</v>
      </c>
      <c r="T8" s="18" t="str">
        <f t="shared" si="6"/>
        <v>EBN.OPP.2340.INM-01-0107</v>
      </c>
      <c r="U8" s="18" t="str">
        <f>IF(AND(J8&lt;&gt;"FIXO",E8="Fornecimento de Equipamento"),"#"&amp;montDes(E8,G8,H8),montDes(E8,G8,H8))</f>
        <v>#Fornecimento de Equipamento - Chave de fenda unidirecional, torque à direita, Classe II tipo D (manutenção A.400), Saída hexagonal fêmea para uso com bit de 1/4", Unidade ECR 1/4" - 1/4" para tomadas e acessórios opcionais, Encaixe de 1/4" no cabo para uso com cabo de catraca tipo A.3 - FERR2000-05033_2340</v>
      </c>
      <c r="V8" t="str">
        <f t="shared" si="7"/>
        <v>FERR2000-05033_2340</v>
      </c>
      <c r="W8" t="str">
        <f t="shared" si="8"/>
        <v>UN</v>
      </c>
      <c r="X8" t="s">
        <v>673</v>
      </c>
      <c r="Y8">
        <f t="shared" si="9"/>
        <v>1</v>
      </c>
      <c r="Z8" s="19" t="s">
        <v>657</v>
      </c>
      <c r="AA8" t="str">
        <f t="shared" si="10"/>
        <v>#Fornecimento de Equipamento - Mecânica</v>
      </c>
      <c r="AB8" t="str">
        <f t="shared" si="11"/>
        <v>62151107</v>
      </c>
      <c r="AC8" t="str">
        <f>_xlfn.XLOOKUP(AA8,referencia!A:A,referencia!B:B,"Error",0,1)</f>
        <v>97000109</v>
      </c>
      <c r="AD8" t="str">
        <f t="shared" si="12"/>
        <v>0,1718</v>
      </c>
      <c r="AE8" t="str">
        <f>IF(OR(E8 = "Fornecimento de Equipamento",E8 ="#Fornecimento de Equipamento"),codMateriais(C8,A8,Z8),"")</f>
        <v>22151007</v>
      </c>
      <c r="AG8" t="str">
        <f t="shared" si="13"/>
        <v>Chave de fenda unidirecional, torque à direita, Classe II tipo D (manutenção A.400), Saída hexagonal fêmea para uso com bit de 1/4", Unidade ECR 1/4" - 1/4" para tomadas e acessórios opcionais, Encaixe de 1/4" no cabo para uso com cabo de catraca tipo A.3 - FERR2000-05033_2340</v>
      </c>
      <c r="AH8" t="str">
        <f t="shared" si="14"/>
        <v>UN</v>
      </c>
      <c r="AI8" t="str">
        <f t="shared" si="15"/>
        <v>1.823,19</v>
      </c>
      <c r="AJ8" t="str">
        <f t="shared" si="16"/>
        <v>R$</v>
      </c>
      <c r="AK8">
        <f>IF(AND(E8 &lt;&gt; "*Supervisão*", E8 &lt;&gt; "Hookup Elétrico", E8 &lt;&gt; "Hookup Instrumentação", E8 &lt;&gt; "Hookup Tubulação"),VLOOKUP(AC8,referencia!$B$2:$C$29,2,FALSE),"")</f>
        <v>93.304067930797274</v>
      </c>
      <c r="AL8" t="str">
        <f t="shared" si="17"/>
        <v>62151107</v>
      </c>
      <c r="AM8" t="str">
        <f>IF(AND(E8 &lt;&gt; "*Supervisão*", E8 &lt;&gt; "Hookup Elétrico", E8 &lt;&gt; "Hookup Instrumentação", E8 &lt;&gt; "Hookup Tubulação"),IF(OR(E8 = "Fornecimento de Equipamento",E8 ="#Fornecimento de Equipamento"),AE8,VLOOKUP(AC8,referencia!$B$2:$D$29,3,FALSE)),"")</f>
        <v>22151007</v>
      </c>
      <c r="AN8">
        <f t="shared" si="24"/>
        <v>1</v>
      </c>
      <c r="AO8" t="str">
        <f>IF($E8 = "Preservação",VLOOKUP(AC8,referencia!$B$1:$G$29,6,FALSE),"")</f>
        <v/>
      </c>
      <c r="AP8" t="str">
        <f t="shared" si="18"/>
        <v/>
      </c>
      <c r="AQ8" t="str">
        <f>IF($E8 = "Preservação",VLOOKUP(AC8,referencia!$B$1:$F$29,5,FALSE),"")</f>
        <v/>
      </c>
      <c r="AR8" t="str">
        <f t="shared" si="19"/>
        <v/>
      </c>
      <c r="AS8">
        <f>VLOOKUP(AC8,referencia!$B$2:$E$29,4,FALSE)</f>
        <v>0</v>
      </c>
      <c r="AT8">
        <f t="shared" si="20"/>
        <v>1839.2196388705111</v>
      </c>
      <c r="AU8">
        <f t="shared" si="21"/>
        <v>1839.2196388705111</v>
      </c>
      <c r="AV8">
        <f t="shared" si="25"/>
        <v>2276.2199999999998</v>
      </c>
      <c r="AW8">
        <f t="shared" si="22"/>
        <v>2276.2199999999998</v>
      </c>
      <c r="AX8" t="str">
        <f t="shared" si="23"/>
        <v>Bate</v>
      </c>
    </row>
    <row r="9" spans="1:50" x14ac:dyDescent="0.25">
      <c r="A9" t="s">
        <v>565</v>
      </c>
      <c r="B9" t="s">
        <v>566</v>
      </c>
      <c r="C9">
        <v>2000</v>
      </c>
      <c r="D9">
        <v>2340</v>
      </c>
      <c r="E9" t="s">
        <v>542</v>
      </c>
      <c r="F9" t="s">
        <v>478</v>
      </c>
      <c r="G9" t="s">
        <v>591</v>
      </c>
      <c r="H9" t="s">
        <v>595</v>
      </c>
      <c r="I9">
        <v>1</v>
      </c>
      <c r="J9" t="s">
        <v>549</v>
      </c>
      <c r="K9" t="s">
        <v>596</v>
      </c>
      <c r="L9" t="s">
        <v>597</v>
      </c>
      <c r="M9" s="18" t="str">
        <f t="shared" si="0"/>
        <v>012340011FERR2000-05034_2340</v>
      </c>
      <c r="N9" s="18" t="str">
        <f t="shared" si="1"/>
        <v>OPP</v>
      </c>
      <c r="O9" s="18" t="str">
        <f t="shared" si="2"/>
        <v>OPP2340</v>
      </c>
      <c r="P9" s="18" t="str">
        <f t="shared" si="3"/>
        <v>OPP2340Mecânica</v>
      </c>
      <c r="Q9" s="18" t="str">
        <f t="shared" si="4"/>
        <v>OPP2340Mecânica#Fornecimento de Equipamento</v>
      </c>
      <c r="R9" s="19" t="s">
        <v>658</v>
      </c>
      <c r="S9" s="18">
        <f t="shared" si="5"/>
        <v>1</v>
      </c>
      <c r="T9" s="18" t="str">
        <f t="shared" si="6"/>
        <v>EBN.OPP.2340.INM-01-0108</v>
      </c>
      <c r="U9" s="18" t="str">
        <f>IF(AND(J9&lt;&gt;"FIXO",E9="Fornecimento de Equipamento"),"#"&amp;montDes(E9,G9,H9),montDes(E9,G9,H9))</f>
        <v>#Fornecimento de Equipamento - Chave de fenda unidirecional, torque à direita, Classe II tipo D (manutenção A.400), Saída hexagonal fêmea para uso com bit de 1/4", Unidade ECR 1/4" - 1/4" para tomadas e acessórios opcionais, Encaixe de 1/4" no cabo para uso com cabo de catraca tipo A.3 - FERR2000-05034_2340</v>
      </c>
      <c r="V9" t="str">
        <f t="shared" si="7"/>
        <v>FERR2000-05034_2340</v>
      </c>
      <c r="W9" t="str">
        <f t="shared" si="8"/>
        <v>UN</v>
      </c>
      <c r="X9" t="s">
        <v>673</v>
      </c>
      <c r="Y9">
        <f t="shared" si="9"/>
        <v>1</v>
      </c>
      <c r="Z9" s="19" t="s">
        <v>658</v>
      </c>
      <c r="AA9" t="str">
        <f t="shared" si="10"/>
        <v>#Fornecimento de Equipamento - Mecânica</v>
      </c>
      <c r="AB9" t="str">
        <f t="shared" si="11"/>
        <v>62151108</v>
      </c>
      <c r="AC9" t="str">
        <f>_xlfn.XLOOKUP(AA9,referencia!A:A,referencia!B:B,"Error",0,1)</f>
        <v>97000109</v>
      </c>
      <c r="AD9" t="str">
        <f t="shared" si="12"/>
        <v>0,18</v>
      </c>
      <c r="AE9" t="str">
        <f>IF(OR(E9 = "Fornecimento de Equipamento",E9 ="#Fornecimento de Equipamento"),codMateriais(C9,A9,Z9),"")</f>
        <v>22151008</v>
      </c>
      <c r="AG9" t="str">
        <f t="shared" si="13"/>
        <v>Chave de fenda unidirecional, torque à direita, Classe II tipo D (manutenção A.400), Saída hexagonal fêmea para uso com bit de 1/4", Unidade ECR 1/4" - 1/4" para tomadas e acessórios opcionais, Encaixe de 1/4" no cabo para uso com cabo de catraca tipo A.3 - FERR2000-05034_2340</v>
      </c>
      <c r="AH9" t="str">
        <f t="shared" si="14"/>
        <v>UN</v>
      </c>
      <c r="AI9" t="str">
        <f t="shared" si="15"/>
        <v>1.910,01</v>
      </c>
      <c r="AJ9" t="str">
        <f t="shared" si="16"/>
        <v>R$</v>
      </c>
      <c r="AK9">
        <f>IF(AND(E9 &lt;&gt; "*Supervisão*", E9 &lt;&gt; "Hookup Elétrico", E9 &lt;&gt; "Hookup Instrumentação", E9 &lt;&gt; "Hookup Tubulação"),VLOOKUP(AC9,referencia!$B$2:$C$29,2,FALSE),"")</f>
        <v>93.304067930797274</v>
      </c>
      <c r="AL9" t="str">
        <f t="shared" si="17"/>
        <v>62151108</v>
      </c>
      <c r="AM9" t="str">
        <f>IF(AND(E9 &lt;&gt; "*Supervisão*", E9 &lt;&gt; "Hookup Elétrico", E9 &lt;&gt; "Hookup Instrumentação", E9 &lt;&gt; "Hookup Tubulação"),IF(OR(E9 = "Fornecimento de Equipamento",E9 ="#Fornecimento de Equipamento"),AE9,VLOOKUP(AC9,referencia!$B$2:$D$29,3,FALSE)),"")</f>
        <v>22151008</v>
      </c>
      <c r="AN9">
        <f t="shared" si="24"/>
        <v>1</v>
      </c>
      <c r="AO9" t="str">
        <f>IF($E9 = "Preservação",VLOOKUP(AC9,referencia!$B$1:$G$29,6,FALSE),"")</f>
        <v/>
      </c>
      <c r="AP9" t="str">
        <f t="shared" si="18"/>
        <v/>
      </c>
      <c r="AQ9" t="str">
        <f>IF($E9 = "Preservação",VLOOKUP(AC9,referencia!$B$1:$F$29,5,FALSE),"")</f>
        <v/>
      </c>
      <c r="AR9" t="str">
        <f t="shared" si="19"/>
        <v/>
      </c>
      <c r="AS9">
        <f>VLOOKUP(AC9,referencia!$B$2:$E$29,4,FALSE)</f>
        <v>0</v>
      </c>
      <c r="AT9">
        <f t="shared" si="20"/>
        <v>1926.8047322275436</v>
      </c>
      <c r="AU9">
        <f t="shared" si="21"/>
        <v>1926.8047322275436</v>
      </c>
      <c r="AV9">
        <f t="shared" si="25"/>
        <v>2384.61</v>
      </c>
      <c r="AW9">
        <f t="shared" si="22"/>
        <v>2384.61</v>
      </c>
      <c r="AX9" t="str">
        <f t="shared" si="23"/>
        <v>Bate</v>
      </c>
    </row>
    <row r="10" spans="1:50" x14ac:dyDescent="0.25">
      <c r="A10" t="s">
        <v>565</v>
      </c>
      <c r="B10" t="s">
        <v>566</v>
      </c>
      <c r="C10">
        <v>2000</v>
      </c>
      <c r="D10">
        <v>2340</v>
      </c>
      <c r="E10" t="s">
        <v>542</v>
      </c>
      <c r="F10" t="s">
        <v>478</v>
      </c>
      <c r="G10" t="s">
        <v>598</v>
      </c>
      <c r="H10" t="s">
        <v>599</v>
      </c>
      <c r="I10">
        <v>1</v>
      </c>
      <c r="J10" t="s">
        <v>549</v>
      </c>
      <c r="K10" t="s">
        <v>600</v>
      </c>
      <c r="L10" t="s">
        <v>601</v>
      </c>
      <c r="M10" s="18" t="str">
        <f t="shared" si="0"/>
        <v>012340011FERR2000-05035_2340</v>
      </c>
      <c r="N10" s="18" t="str">
        <f t="shared" si="1"/>
        <v>OPP</v>
      </c>
      <c r="O10" s="18" t="str">
        <f t="shared" si="2"/>
        <v>OPP2340</v>
      </c>
      <c r="P10" s="18" t="str">
        <f t="shared" si="3"/>
        <v>OPP2340Mecânica</v>
      </c>
      <c r="Q10" s="18" t="str">
        <f t="shared" si="4"/>
        <v>OPP2340Mecânica#Fornecimento de Equipamento</v>
      </c>
      <c r="R10" s="19" t="s">
        <v>659</v>
      </c>
      <c r="S10" s="18">
        <f t="shared" si="5"/>
        <v>1</v>
      </c>
      <c r="T10" s="18" t="str">
        <f t="shared" si="6"/>
        <v>EBN.OPP.2340.INM-01-0109</v>
      </c>
      <c r="U10" s="18" t="str">
        <f>IF(AND(J10&lt;&gt;"FIXO",E10="Fornecimento de Equipamento"),"#"&amp;montDes(E10,G10,H10),montDes(E10,G10,H10))</f>
        <v>#Fornecimento de Equipamento - Chave de fenda leve e compacta para carga de baixo torque. Torque à direita. - FERR2000-05035_2340</v>
      </c>
      <c r="V10" t="str">
        <f t="shared" si="7"/>
        <v>FERR2000-05035_2340</v>
      </c>
      <c r="W10" t="str">
        <f t="shared" si="8"/>
        <v>UN</v>
      </c>
      <c r="X10" t="s">
        <v>673</v>
      </c>
      <c r="Y10">
        <f t="shared" si="9"/>
        <v>1</v>
      </c>
      <c r="Z10" s="19" t="s">
        <v>659</v>
      </c>
      <c r="AA10" t="str">
        <f t="shared" si="10"/>
        <v>#Fornecimento de Equipamento - Mecânica</v>
      </c>
      <c r="AB10" t="str">
        <f t="shared" si="11"/>
        <v>62151109</v>
      </c>
      <c r="AC10" t="str">
        <f>_xlfn.XLOOKUP(AA10,referencia!A:A,referencia!B:B,"Error",0,1)</f>
        <v>97000109</v>
      </c>
      <c r="AD10" t="str">
        <f t="shared" si="12"/>
        <v>0,2863</v>
      </c>
      <c r="AE10" t="str">
        <f>IF(OR(E10 = "Fornecimento de Equipamento",E10 ="#Fornecimento de Equipamento"),codMateriais(C10,A10,Z10),"")</f>
        <v>22151009</v>
      </c>
      <c r="AG10" t="str">
        <f t="shared" si="13"/>
        <v>Chave de fenda leve e compacta para carga de baixo torque. Torque à direita. - FERR2000-05035_2340</v>
      </c>
      <c r="AH10" t="str">
        <f t="shared" si="14"/>
        <v>UN</v>
      </c>
      <c r="AI10" t="str">
        <f t="shared" si="15"/>
        <v>3.038,65</v>
      </c>
      <c r="AJ10" t="str">
        <f t="shared" si="16"/>
        <v>R$</v>
      </c>
      <c r="AK10">
        <f>IF(AND(E10 &lt;&gt; "*Supervisão*", E10 &lt;&gt; "Hookup Elétrico", E10 &lt;&gt; "Hookup Instrumentação", E10 &lt;&gt; "Hookup Tubulação"),VLOOKUP(AC10,referencia!$B$2:$C$29,2,FALSE),"")</f>
        <v>93.304067930797274</v>
      </c>
      <c r="AL10" t="str">
        <f t="shared" si="17"/>
        <v>62151109</v>
      </c>
      <c r="AM10" t="str">
        <f>IF(AND(E10 &lt;&gt; "*Supervisão*", E10 &lt;&gt; "Hookup Elétrico", E10 &lt;&gt; "Hookup Instrumentação", E10 &lt;&gt; "Hookup Tubulação"),IF(OR(E10 = "Fornecimento de Equipamento",E10 ="#Fornecimento de Equipamento"),AE10,VLOOKUP(AC10,referencia!$B$2:$D$29,3,FALSE)),"")</f>
        <v>22151009</v>
      </c>
      <c r="AN10">
        <f t="shared" si="24"/>
        <v>1</v>
      </c>
      <c r="AO10" t="str">
        <f>IF($E10 = "Preservação",VLOOKUP(AC10,referencia!$B$1:$G$29,6,FALSE),"")</f>
        <v/>
      </c>
      <c r="AP10" t="str">
        <f t="shared" si="18"/>
        <v/>
      </c>
      <c r="AQ10" t="str">
        <f>IF($E10 = "Preservação",VLOOKUP(AC10,referencia!$B$1:$F$29,5,FALSE),"")</f>
        <v/>
      </c>
      <c r="AR10" t="str">
        <f t="shared" si="19"/>
        <v/>
      </c>
      <c r="AS10">
        <f>VLOOKUP(AC10,referencia!$B$2:$E$29,4,FALSE)</f>
        <v>0</v>
      </c>
      <c r="AT10">
        <f t="shared" si="20"/>
        <v>3065.3629546485872</v>
      </c>
      <c r="AU10">
        <f t="shared" si="21"/>
        <v>3065.3629546485872</v>
      </c>
      <c r="AV10">
        <f t="shared" si="25"/>
        <v>3793.69</v>
      </c>
      <c r="AW10">
        <f t="shared" si="22"/>
        <v>3793.69</v>
      </c>
      <c r="AX10" t="str">
        <f t="shared" si="23"/>
        <v>Bate</v>
      </c>
    </row>
    <row r="11" spans="1:50" x14ac:dyDescent="0.25">
      <c r="A11" t="s">
        <v>565</v>
      </c>
      <c r="B11" t="s">
        <v>566</v>
      </c>
      <c r="C11">
        <v>2000</v>
      </c>
      <c r="D11">
        <v>2340</v>
      </c>
      <c r="E11" t="s">
        <v>542</v>
      </c>
      <c r="F11" t="s">
        <v>478</v>
      </c>
      <c r="G11" t="s">
        <v>602</v>
      </c>
      <c r="H11" t="s">
        <v>603</v>
      </c>
      <c r="I11">
        <v>1</v>
      </c>
      <c r="J11" t="s">
        <v>549</v>
      </c>
      <c r="K11" t="s">
        <v>604</v>
      </c>
      <c r="L11" t="s">
        <v>605</v>
      </c>
      <c r="M11" s="18" t="str">
        <f t="shared" si="0"/>
        <v>012340011FERR2000-05037_2340</v>
      </c>
      <c r="N11" s="18" t="str">
        <f t="shared" si="1"/>
        <v>OPP</v>
      </c>
      <c r="O11" s="18" t="str">
        <f t="shared" si="2"/>
        <v>OPP2340</v>
      </c>
      <c r="P11" s="18" t="str">
        <f t="shared" si="3"/>
        <v>OPP2340Mecânica</v>
      </c>
      <c r="Q11" s="18" t="str">
        <f t="shared" si="4"/>
        <v>OPP2340Mecânica#Fornecimento de Equipamento</v>
      </c>
      <c r="R11" s="19" t="s">
        <v>660</v>
      </c>
      <c r="S11" s="18">
        <f t="shared" si="5"/>
        <v>1</v>
      </c>
      <c r="T11" s="18" t="str">
        <f t="shared" si="6"/>
        <v>EBN.OPP.2340.INM-01-0110</v>
      </c>
      <c r="U11" s="18" t="str">
        <f>IF(AND(J11&lt;&gt;"FIXO",E11="Fornecimento de Equipamento"),"#"&amp;montDes(E11,G11,H11),montDes(E11,G11,H11))</f>
        <v>#Fornecimento de Equipamento - Jogo de soquetes com bit hexagonal, encaixe 1/4" com as seguintes medidas (5, 6, 7, 8, 10, 12, 14, 17 e 19 mm) - FERR2000-05037_2340</v>
      </c>
      <c r="V11" t="str">
        <f t="shared" si="7"/>
        <v>FERR2000-05037_2340</v>
      </c>
      <c r="W11" t="str">
        <f t="shared" si="8"/>
        <v>UN</v>
      </c>
      <c r="X11" t="s">
        <v>673</v>
      </c>
      <c r="Y11">
        <f t="shared" si="9"/>
        <v>1</v>
      </c>
      <c r="Z11" s="19" t="s">
        <v>660</v>
      </c>
      <c r="AA11" t="str">
        <f t="shared" si="10"/>
        <v>#Fornecimento de Equipamento - Mecânica</v>
      </c>
      <c r="AB11" t="str">
        <f t="shared" si="11"/>
        <v>62151110</v>
      </c>
      <c r="AC11" t="str">
        <f>_xlfn.XLOOKUP(AA11,referencia!A:A,referencia!B:B,"Error",0,1)</f>
        <v>97000109</v>
      </c>
      <c r="AD11" t="str">
        <f t="shared" si="12"/>
        <v>0,0941</v>
      </c>
      <c r="AE11" t="str">
        <f>IF(OR(E11 = "Fornecimento de Equipamento",E11 ="#Fornecimento de Equipamento"),codMateriais(C11,A11,Z11),"")</f>
        <v>22151010</v>
      </c>
      <c r="AG11" t="str">
        <f t="shared" si="13"/>
        <v>Jogo de soquetes com bit hexagonal, encaixe 1/4" com as seguintes medidas (5, 6, 7, 8, 10, 12, 14, 17 e 19 mm) - FERR2000-05037_2340</v>
      </c>
      <c r="AH11" t="str">
        <f t="shared" si="14"/>
        <v>UN</v>
      </c>
      <c r="AI11" t="str">
        <f t="shared" si="15"/>
        <v>998,41</v>
      </c>
      <c r="AJ11" t="str">
        <f t="shared" si="16"/>
        <v>R$</v>
      </c>
      <c r="AK11">
        <f>IF(AND(E11 &lt;&gt; "*Supervisão*", E11 &lt;&gt; "Hookup Elétrico", E11 &lt;&gt; "Hookup Instrumentação", E11 &lt;&gt; "Hookup Tubulação"),VLOOKUP(AC11,referencia!$B$2:$C$29,2,FALSE),"")</f>
        <v>93.304067930797274</v>
      </c>
      <c r="AL11" t="str">
        <f t="shared" si="17"/>
        <v>62151110</v>
      </c>
      <c r="AM11" t="str">
        <f>IF(AND(E11 &lt;&gt; "*Supervisão*", E11 &lt;&gt; "Hookup Elétrico", E11 &lt;&gt; "Hookup Instrumentação", E11 &lt;&gt; "Hookup Tubulação"),IF(OR(E11 = "Fornecimento de Equipamento",E11 ="#Fornecimento de Equipamento"),AE11,VLOOKUP(AC11,referencia!$B$2:$D$29,3,FALSE)),"")</f>
        <v>22151010</v>
      </c>
      <c r="AN11">
        <f t="shared" si="24"/>
        <v>1</v>
      </c>
      <c r="AO11" t="str">
        <f>IF($E11 = "Preservação",VLOOKUP(AC11,referencia!$B$1:$G$29,6,FALSE),"")</f>
        <v/>
      </c>
      <c r="AP11" t="str">
        <f t="shared" si="18"/>
        <v/>
      </c>
      <c r="AQ11" t="str">
        <f>IF($E11 = "Preservação",VLOOKUP(AC11,referencia!$B$1:$F$29,5,FALSE),"")</f>
        <v/>
      </c>
      <c r="AR11" t="str">
        <f t="shared" si="19"/>
        <v/>
      </c>
      <c r="AS11">
        <f>VLOOKUP(AC11,referencia!$B$2:$E$29,4,FALSE)</f>
        <v>0</v>
      </c>
      <c r="AT11">
        <f t="shared" si="20"/>
        <v>1007.1899127922879</v>
      </c>
      <c r="AU11">
        <f t="shared" si="21"/>
        <v>1007.1899127922879</v>
      </c>
      <c r="AV11">
        <f t="shared" si="25"/>
        <v>1246.5</v>
      </c>
      <c r="AW11">
        <f t="shared" si="22"/>
        <v>1246.5</v>
      </c>
      <c r="AX11" t="str">
        <f t="shared" si="23"/>
        <v>Bate</v>
      </c>
    </row>
    <row r="12" spans="1:50" x14ac:dyDescent="0.25">
      <c r="A12" t="s">
        <v>565</v>
      </c>
      <c r="B12" t="s">
        <v>566</v>
      </c>
      <c r="C12">
        <v>2000</v>
      </c>
      <c r="D12">
        <v>2340</v>
      </c>
      <c r="E12" t="s">
        <v>542</v>
      </c>
      <c r="F12" t="s">
        <v>478</v>
      </c>
      <c r="G12" t="s">
        <v>606</v>
      </c>
      <c r="H12" t="s">
        <v>607</v>
      </c>
      <c r="I12">
        <v>1</v>
      </c>
      <c r="J12" t="s">
        <v>549</v>
      </c>
      <c r="K12" t="s">
        <v>608</v>
      </c>
      <c r="L12" t="s">
        <v>609</v>
      </c>
      <c r="M12" s="18" t="str">
        <f t="shared" si="0"/>
        <v>012340011FERR2000-05038_2340</v>
      </c>
      <c r="N12" s="18" t="str">
        <f t="shared" si="1"/>
        <v>OPP</v>
      </c>
      <c r="O12" s="18" t="str">
        <f t="shared" si="2"/>
        <v>OPP2340</v>
      </c>
      <c r="P12" s="18" t="str">
        <f t="shared" si="3"/>
        <v>OPP2340Mecânica</v>
      </c>
      <c r="Q12" s="18" t="str">
        <f t="shared" si="4"/>
        <v>OPP2340Mecânica#Fornecimento de Equipamento</v>
      </c>
      <c r="R12" s="19" t="s">
        <v>661</v>
      </c>
      <c r="S12" s="18">
        <f t="shared" si="5"/>
        <v>1</v>
      </c>
      <c r="T12" s="18" t="str">
        <f t="shared" si="6"/>
        <v>EBN.OPP.2340.INM-01-0111</v>
      </c>
      <c r="U12" s="18" t="str">
        <f>IF(AND(J12&lt;&gt;"FIXO",E12="Fornecimento de Equipamento"),"#"&amp;montDes(E12,G12,H12),montDes(E12,G12,H12))</f>
        <v>#Fornecimento de Equipamento - Ponta de chave de fenda, torx T6, encaixe sextavado 1/4", comprimento total 150mm. - FERR2000-05038_2340</v>
      </c>
      <c r="V12" t="str">
        <f t="shared" si="7"/>
        <v>FERR2000-05038_2340</v>
      </c>
      <c r="W12" t="str">
        <f t="shared" si="8"/>
        <v>UN</v>
      </c>
      <c r="X12" t="s">
        <v>673</v>
      </c>
      <c r="Y12">
        <f t="shared" si="9"/>
        <v>1</v>
      </c>
      <c r="Z12" s="19" t="s">
        <v>661</v>
      </c>
      <c r="AA12" t="str">
        <f t="shared" si="10"/>
        <v>#Fornecimento de Equipamento - Mecânica</v>
      </c>
      <c r="AB12" t="str">
        <f t="shared" si="11"/>
        <v>62151111</v>
      </c>
      <c r="AC12" t="str">
        <f>_xlfn.XLOOKUP(AA12,referencia!A:A,referencia!B:B,"Error",0,1)</f>
        <v>97000109</v>
      </c>
      <c r="AD12" t="str">
        <f t="shared" si="12"/>
        <v>0,0098</v>
      </c>
      <c r="AE12" t="str">
        <f>IF(OR(E12 = "Fornecimento de Equipamento",E12 ="#Fornecimento de Equipamento"),codMateriais(C12,A12,Z12),"")</f>
        <v>22151011</v>
      </c>
      <c r="AG12" t="str">
        <f t="shared" si="13"/>
        <v>Ponta de chave de fenda, torx T6, encaixe sextavado 1/4", comprimento total 150mm. - FERR2000-05038_2340</v>
      </c>
      <c r="AH12" t="str">
        <f t="shared" si="14"/>
        <v>UN</v>
      </c>
      <c r="AI12" t="str">
        <f t="shared" si="15"/>
        <v>305,63</v>
      </c>
      <c r="AJ12" t="str">
        <f t="shared" si="16"/>
        <v>R$</v>
      </c>
      <c r="AK12">
        <f>IF(AND(E12 &lt;&gt; "*Supervisão*", E12 &lt;&gt; "Hookup Elétrico", E12 &lt;&gt; "Hookup Instrumentação", E12 &lt;&gt; "Hookup Tubulação"),VLOOKUP(AC12,referencia!$B$2:$C$29,2,FALSE),"")</f>
        <v>93.304067930797274</v>
      </c>
      <c r="AL12" t="str">
        <f t="shared" si="17"/>
        <v>62151111</v>
      </c>
      <c r="AM12" t="str">
        <f>IF(AND(E12 &lt;&gt; "*Supervisão*", E12 &lt;&gt; "Hookup Elétrico", E12 &lt;&gt; "Hookup Instrumentação", E12 &lt;&gt; "Hookup Tubulação"),IF(OR(E12 = "Fornecimento de Equipamento",E12 ="#Fornecimento de Equipamento"),AE12,VLOOKUP(AC12,referencia!$B$2:$D$29,3,FALSE)),"")</f>
        <v>22151011</v>
      </c>
      <c r="AN12">
        <f t="shared" si="24"/>
        <v>1</v>
      </c>
      <c r="AO12" t="str">
        <f>IF($E12 = "Preservação",VLOOKUP(AC12,referencia!$B$1:$G$29,6,FALSE),"")</f>
        <v/>
      </c>
      <c r="AP12" t="str">
        <f t="shared" si="18"/>
        <v/>
      </c>
      <c r="AQ12" t="str">
        <f>IF($E12 = "Preservação",VLOOKUP(AC12,referencia!$B$1:$F$29,5,FALSE),"")</f>
        <v/>
      </c>
      <c r="AR12" t="str">
        <f t="shared" si="19"/>
        <v/>
      </c>
      <c r="AS12">
        <f>VLOOKUP(AC12,referencia!$B$2:$E$29,4,FALSE)</f>
        <v>0</v>
      </c>
      <c r="AT12">
        <f t="shared" si="20"/>
        <v>306.54437986572179</v>
      </c>
      <c r="AU12">
        <f t="shared" si="21"/>
        <v>306.54437986572179</v>
      </c>
      <c r="AV12">
        <f t="shared" si="25"/>
        <v>379.38</v>
      </c>
      <c r="AW12">
        <f t="shared" si="22"/>
        <v>379.38</v>
      </c>
      <c r="AX12" t="str">
        <f t="shared" si="23"/>
        <v>Bate</v>
      </c>
    </row>
    <row r="13" spans="1:50" x14ac:dyDescent="0.25">
      <c r="A13" t="s">
        <v>565</v>
      </c>
      <c r="B13" t="s">
        <v>566</v>
      </c>
      <c r="C13">
        <v>2000</v>
      </c>
      <c r="D13">
        <v>2340</v>
      </c>
      <c r="E13" t="s">
        <v>477</v>
      </c>
      <c r="F13" t="s">
        <v>478</v>
      </c>
      <c r="G13" t="s">
        <v>610</v>
      </c>
      <c r="H13" t="s">
        <v>611</v>
      </c>
      <c r="I13">
        <v>1</v>
      </c>
      <c r="J13" t="s">
        <v>549</v>
      </c>
      <c r="K13" t="s">
        <v>612</v>
      </c>
      <c r="L13" t="s">
        <v>613</v>
      </c>
      <c r="M13" s="18" t="str">
        <f t="shared" si="0"/>
        <v>012340011FERR2000-05039_2340</v>
      </c>
      <c r="N13" s="18" t="str">
        <f t="shared" si="1"/>
        <v>OPP</v>
      </c>
      <c r="O13" s="18" t="str">
        <f t="shared" si="2"/>
        <v>OPP2340</v>
      </c>
      <c r="P13" s="18" t="str">
        <f t="shared" si="3"/>
        <v>OPP2340Mecânica</v>
      </c>
      <c r="Q13" s="18" t="str">
        <f t="shared" si="4"/>
        <v>OPP2340MecânicaFornecimento de Equipamento</v>
      </c>
      <c r="R13" s="19" t="s">
        <v>662</v>
      </c>
      <c r="S13" s="18">
        <f t="shared" si="5"/>
        <v>1</v>
      </c>
      <c r="T13" s="18" t="str">
        <f t="shared" si="6"/>
        <v>EBN.OPP.2340.INM-01-0112</v>
      </c>
      <c r="U13" s="18" t="str">
        <f>IF(AND(J13&lt;&gt;"FIXO",E13="Fornecimento de Equipamento"),"#"&amp;montDes(E13,G13,H13),montDes(E13,G13,H13))</f>
        <v>#Fornecimento de Equipamento - Ponta de chave de fenda, torx T8, encaixe sextavado 1/4", comprimento total 150mm - FERR2000-05039_2340</v>
      </c>
      <c r="V13" t="str">
        <f t="shared" si="7"/>
        <v>FERR2000-05039_2340</v>
      </c>
      <c r="W13" t="str">
        <f t="shared" si="8"/>
        <v>UN</v>
      </c>
      <c r="X13" t="s">
        <v>673</v>
      </c>
      <c r="Y13">
        <f t="shared" si="9"/>
        <v>1</v>
      </c>
      <c r="Z13" s="19" t="s">
        <v>662</v>
      </c>
      <c r="AA13" t="str">
        <f t="shared" si="10"/>
        <v>Fornecimento de Equipamento - Mecânica</v>
      </c>
      <c r="AB13" t="str">
        <f t="shared" si="11"/>
        <v>62151112</v>
      </c>
      <c r="AC13" t="str">
        <f>_xlfn.XLOOKUP(AA13,referencia!A:A,referencia!B:B,"Error",0,1)</f>
        <v>97000109</v>
      </c>
      <c r="AD13" t="str">
        <f t="shared" si="12"/>
        <v>0,0033</v>
      </c>
      <c r="AE13" t="str">
        <f>IF(OR(E13 = "Fornecimento de Equipamento",E13 ="#Fornecimento de Equipamento"),codMateriais(C13,A13,Z13),"")</f>
        <v>22151012</v>
      </c>
      <c r="AG13" t="str">
        <f t="shared" si="13"/>
        <v>Ponta de chave de fenda, torx T8, encaixe sextavado 1/4", comprimento total 150mm - FERR2000-05039_2340</v>
      </c>
      <c r="AH13" t="str">
        <f t="shared" si="14"/>
        <v>UN</v>
      </c>
      <c r="AI13" t="str">
        <f t="shared" si="15"/>
        <v>102,48</v>
      </c>
      <c r="AJ13" t="str">
        <f t="shared" si="16"/>
        <v>R$</v>
      </c>
      <c r="AK13">
        <f>IF(AND(E13 &lt;&gt; "*Supervisão*", E13 &lt;&gt; "Hookup Elétrico", E13 &lt;&gt; "Hookup Instrumentação", E13 &lt;&gt; "Hookup Tubulação"),VLOOKUP(AC13,referencia!$B$2:$C$29,2,FALSE),"")</f>
        <v>93.304067930797274</v>
      </c>
      <c r="AL13" t="str">
        <f t="shared" si="17"/>
        <v>62151112</v>
      </c>
      <c r="AM13" t="str">
        <f>IF(AND(E13 &lt;&gt; "*Supervisão*", E13 &lt;&gt; "Hookup Elétrico", E13 &lt;&gt; "Hookup Instrumentação", E13 &lt;&gt; "Hookup Tubulação"),IF(OR(E13 = "Fornecimento de Equipamento",E13 ="#Fornecimento de Equipamento"),AE13,VLOOKUP(AC13,referencia!$B$2:$D$29,3,FALSE)),"")</f>
        <v>22151012</v>
      </c>
      <c r="AN13">
        <f t="shared" si="24"/>
        <v>1</v>
      </c>
      <c r="AO13" t="str">
        <f>IF($E13 = "Preservação",VLOOKUP(AC13,referencia!$B$1:$G$29,6,FALSE),"")</f>
        <v/>
      </c>
      <c r="AP13" t="str">
        <f t="shared" si="18"/>
        <v/>
      </c>
      <c r="AQ13" t="str">
        <f>IF($E13 = "Preservação",VLOOKUP(AC13,referencia!$B$1:$F$29,5,FALSE),"")</f>
        <v/>
      </c>
      <c r="AR13" t="str">
        <f t="shared" si="19"/>
        <v/>
      </c>
      <c r="AS13">
        <f>VLOOKUP(AC13,referencia!$B$2:$E$29,4,FALSE)</f>
        <v>0</v>
      </c>
      <c r="AT13">
        <f t="shared" si="20"/>
        <v>102.78790342417163</v>
      </c>
      <c r="AU13">
        <f t="shared" si="21"/>
        <v>102.78790342417163</v>
      </c>
      <c r="AV13">
        <f t="shared" si="25"/>
        <v>135.6</v>
      </c>
      <c r="AW13">
        <f t="shared" si="22"/>
        <v>135.6</v>
      </c>
      <c r="AX13" t="str">
        <f t="shared" si="23"/>
        <v>Bate</v>
      </c>
    </row>
    <row r="14" spans="1:50" x14ac:dyDescent="0.25">
      <c r="A14" t="s">
        <v>565</v>
      </c>
      <c r="B14" t="s">
        <v>566</v>
      </c>
      <c r="C14">
        <v>2000</v>
      </c>
      <c r="D14">
        <v>2340</v>
      </c>
      <c r="E14" t="s">
        <v>477</v>
      </c>
      <c r="F14" t="s">
        <v>478</v>
      </c>
      <c r="G14" t="s">
        <v>614</v>
      </c>
      <c r="H14" t="s">
        <v>615</v>
      </c>
      <c r="I14">
        <v>1</v>
      </c>
      <c r="J14" t="s">
        <v>549</v>
      </c>
      <c r="K14" t="s">
        <v>608</v>
      </c>
      <c r="L14" t="s">
        <v>609</v>
      </c>
      <c r="M14" s="18" t="str">
        <f t="shared" si="0"/>
        <v>012340011FERR2000-05040_2340</v>
      </c>
      <c r="N14" s="18" t="str">
        <f t="shared" si="1"/>
        <v>OPP</v>
      </c>
      <c r="O14" s="18" t="str">
        <f t="shared" si="2"/>
        <v>OPP2340</v>
      </c>
      <c r="P14" s="18" t="str">
        <f t="shared" si="3"/>
        <v>OPP2340Mecânica</v>
      </c>
      <c r="Q14" s="18" t="str">
        <f t="shared" si="4"/>
        <v>OPP2340MecânicaFornecimento de Equipamento</v>
      </c>
      <c r="R14" s="19" t="s">
        <v>663</v>
      </c>
      <c r="S14" s="18">
        <f t="shared" si="5"/>
        <v>1</v>
      </c>
      <c r="T14" s="18" t="str">
        <f t="shared" si="6"/>
        <v>EBN.OPP.2340.INM-01-0113</v>
      </c>
      <c r="U14" s="18" t="str">
        <f>IF(AND(J14&lt;&gt;"FIXO",E14="Fornecimento de Equipamento"),"#"&amp;montDes(E14,G14,H14),montDes(E14,G14,H14))</f>
        <v>#Fornecimento de Equipamento - Ponta de chave de fenda, torx T9, encaixe sextavado 1/4", comprimento total 150mm - FERR2000-05040_2340</v>
      </c>
      <c r="V14" t="str">
        <f t="shared" si="7"/>
        <v>FERR2000-05040_2340</v>
      </c>
      <c r="W14" t="str">
        <f t="shared" si="8"/>
        <v>UN</v>
      </c>
      <c r="X14" t="s">
        <v>673</v>
      </c>
      <c r="Y14">
        <f t="shared" si="9"/>
        <v>1</v>
      </c>
      <c r="Z14" s="19" t="s">
        <v>663</v>
      </c>
      <c r="AA14" t="str">
        <f t="shared" si="10"/>
        <v>Fornecimento de Equipamento - Mecânica</v>
      </c>
      <c r="AB14" t="str">
        <f t="shared" si="11"/>
        <v>62151113</v>
      </c>
      <c r="AC14" t="str">
        <f>_xlfn.XLOOKUP(AA14,referencia!A:A,referencia!B:B,"Error",0,1)</f>
        <v>97000109</v>
      </c>
      <c r="AD14" t="str">
        <f t="shared" si="12"/>
        <v>0,0098</v>
      </c>
      <c r="AE14" t="str">
        <f>IF(OR(E14 = "Fornecimento de Equipamento",E14 ="#Fornecimento de Equipamento"),codMateriais(C14,A14,Z14),"")</f>
        <v>22151013</v>
      </c>
      <c r="AG14" t="str">
        <f t="shared" si="13"/>
        <v>Ponta de chave de fenda, torx T9, encaixe sextavado 1/4", comprimento total 150mm - FERR2000-05040_2340</v>
      </c>
      <c r="AH14" t="str">
        <f t="shared" si="14"/>
        <v>UN</v>
      </c>
      <c r="AI14" t="str">
        <f t="shared" si="15"/>
        <v>305,63</v>
      </c>
      <c r="AJ14" t="str">
        <f t="shared" si="16"/>
        <v>R$</v>
      </c>
      <c r="AK14">
        <f>IF(AND(E14 &lt;&gt; "*Supervisão*", E14 &lt;&gt; "Hookup Elétrico", E14 &lt;&gt; "Hookup Instrumentação", E14 &lt;&gt; "Hookup Tubulação"),VLOOKUP(AC14,referencia!$B$2:$C$29,2,FALSE),"")</f>
        <v>93.304067930797274</v>
      </c>
      <c r="AL14" t="str">
        <f t="shared" si="17"/>
        <v>62151113</v>
      </c>
      <c r="AM14" t="str">
        <f>IF(AND(E14 &lt;&gt; "*Supervisão*", E14 &lt;&gt; "Hookup Elétrico", E14 &lt;&gt; "Hookup Instrumentação", E14 &lt;&gt; "Hookup Tubulação"),IF(OR(E14 = "Fornecimento de Equipamento",E14 ="#Fornecimento de Equipamento"),AE14,VLOOKUP(AC14,referencia!$B$2:$D$29,3,FALSE)),"")</f>
        <v>22151013</v>
      </c>
      <c r="AN14">
        <f t="shared" si="24"/>
        <v>1</v>
      </c>
      <c r="AO14" t="str">
        <f>IF($E14 = "Preservação",VLOOKUP(AC14,referencia!$B$1:$G$29,6,FALSE),"")</f>
        <v/>
      </c>
      <c r="AP14" t="str">
        <f t="shared" si="18"/>
        <v/>
      </c>
      <c r="AQ14" t="str">
        <f>IF($E14 = "Preservação",VLOOKUP(AC14,referencia!$B$1:$F$29,5,FALSE),"")</f>
        <v/>
      </c>
      <c r="AR14" t="str">
        <f t="shared" si="19"/>
        <v/>
      </c>
      <c r="AS14">
        <f>VLOOKUP(AC14,referencia!$B$2:$E$29,4,FALSE)</f>
        <v>0</v>
      </c>
      <c r="AT14">
        <f t="shared" si="20"/>
        <v>306.54437986572179</v>
      </c>
      <c r="AU14">
        <f t="shared" si="21"/>
        <v>306.54437986572179</v>
      </c>
      <c r="AV14">
        <f t="shared" si="25"/>
        <v>404.39</v>
      </c>
      <c r="AW14">
        <f t="shared" si="22"/>
        <v>404.39</v>
      </c>
      <c r="AX14" t="str">
        <f t="shared" si="23"/>
        <v>Bate</v>
      </c>
    </row>
    <row r="15" spans="1:50" x14ac:dyDescent="0.25">
      <c r="A15" t="s">
        <v>565</v>
      </c>
      <c r="B15" t="s">
        <v>566</v>
      </c>
      <c r="C15">
        <v>2000</v>
      </c>
      <c r="D15">
        <v>2340</v>
      </c>
      <c r="E15" t="s">
        <v>477</v>
      </c>
      <c r="F15" t="s">
        <v>478</v>
      </c>
      <c r="G15" t="s">
        <v>616</v>
      </c>
      <c r="H15" t="s">
        <v>617</v>
      </c>
      <c r="I15">
        <v>1</v>
      </c>
      <c r="J15" t="s">
        <v>549</v>
      </c>
      <c r="K15" t="s">
        <v>612</v>
      </c>
      <c r="L15" t="s">
        <v>613</v>
      </c>
      <c r="M15" s="18" t="str">
        <f t="shared" si="0"/>
        <v>012340011FERR2000-05041_2340</v>
      </c>
      <c r="N15" s="18" t="str">
        <f t="shared" si="1"/>
        <v>OPP</v>
      </c>
      <c r="O15" s="18" t="str">
        <f t="shared" si="2"/>
        <v>OPP2340</v>
      </c>
      <c r="P15" s="18" t="str">
        <f t="shared" si="3"/>
        <v>OPP2340Mecânica</v>
      </c>
      <c r="Q15" s="18" t="str">
        <f t="shared" si="4"/>
        <v>OPP2340MecânicaFornecimento de Equipamento</v>
      </c>
      <c r="R15" s="19" t="s">
        <v>664</v>
      </c>
      <c r="S15" s="18">
        <f t="shared" si="5"/>
        <v>1</v>
      </c>
      <c r="T15" s="18" t="str">
        <f t="shared" si="6"/>
        <v>EBN.OPP.2340.INM-01-0114</v>
      </c>
      <c r="U15" s="18" t="str">
        <f>IF(AND(J15&lt;&gt;"FIXO",E15="Fornecimento de Equipamento"),"#"&amp;montDes(E15,G15,H15),montDes(E15,G15,H15))</f>
        <v>#Fornecimento de Equipamento - Ponta de chave de fenda, torx T10, encaixe sextavado 1/4", comprimento total 150mm - FERR2000-05041_2340</v>
      </c>
      <c r="V15" t="str">
        <f t="shared" si="7"/>
        <v>FERR2000-05041_2340</v>
      </c>
      <c r="W15" t="str">
        <f t="shared" si="8"/>
        <v>UN</v>
      </c>
      <c r="X15" t="s">
        <v>673</v>
      </c>
      <c r="Y15">
        <f t="shared" si="9"/>
        <v>1</v>
      </c>
      <c r="Z15" s="19" t="s">
        <v>664</v>
      </c>
      <c r="AA15" t="str">
        <f t="shared" si="10"/>
        <v>Fornecimento de Equipamento - Mecânica</v>
      </c>
      <c r="AB15" t="str">
        <f t="shared" si="11"/>
        <v>62151114</v>
      </c>
      <c r="AC15" t="str">
        <f>_xlfn.XLOOKUP(AA15,referencia!A:A,referencia!B:B,"Error",0,1)</f>
        <v>97000109</v>
      </c>
      <c r="AD15" t="str">
        <f t="shared" si="12"/>
        <v>0,0033</v>
      </c>
      <c r="AE15" t="str">
        <f>IF(OR(E15 = "Fornecimento de Equipamento",E15 ="#Fornecimento de Equipamento"),codMateriais(C15,A15,Z15),"")</f>
        <v>22151014</v>
      </c>
      <c r="AG15" t="str">
        <f t="shared" si="13"/>
        <v>Ponta de chave de fenda, torx T10, encaixe sextavado 1/4", comprimento total 150mm - FERR2000-05041_2340</v>
      </c>
      <c r="AH15" t="str">
        <f t="shared" si="14"/>
        <v>UN</v>
      </c>
      <c r="AI15" t="str">
        <f t="shared" si="15"/>
        <v>102,48</v>
      </c>
      <c r="AJ15" t="str">
        <f t="shared" si="16"/>
        <v>R$</v>
      </c>
      <c r="AK15">
        <f>IF(AND(E15 &lt;&gt; "*Supervisão*", E15 &lt;&gt; "Hookup Elétrico", E15 &lt;&gt; "Hookup Instrumentação", E15 &lt;&gt; "Hookup Tubulação"),VLOOKUP(AC15,referencia!$B$2:$C$29,2,FALSE),"")</f>
        <v>93.304067930797274</v>
      </c>
      <c r="AL15" t="str">
        <f t="shared" si="17"/>
        <v>62151114</v>
      </c>
      <c r="AM15" t="str">
        <f>IF(AND(E15 &lt;&gt; "*Supervisão*", E15 &lt;&gt; "Hookup Elétrico", E15 &lt;&gt; "Hookup Instrumentação", E15 &lt;&gt; "Hookup Tubulação"),IF(OR(E15 = "Fornecimento de Equipamento",E15 ="#Fornecimento de Equipamento"),AE15,VLOOKUP(AC15,referencia!$B$2:$D$29,3,FALSE)),"")</f>
        <v>22151014</v>
      </c>
      <c r="AN15">
        <f t="shared" si="24"/>
        <v>1</v>
      </c>
      <c r="AO15" t="str">
        <f>IF($E15 = "Preservação",VLOOKUP(AC15,referencia!$B$1:$G$29,6,FALSE),"")</f>
        <v/>
      </c>
      <c r="AP15" t="str">
        <f t="shared" si="18"/>
        <v/>
      </c>
      <c r="AQ15" t="str">
        <f>IF($E15 = "Preservação",VLOOKUP(AC15,referencia!$B$1:$F$29,5,FALSE),"")</f>
        <v/>
      </c>
      <c r="AR15" t="str">
        <f t="shared" si="19"/>
        <v/>
      </c>
      <c r="AS15">
        <f>VLOOKUP(AC15,referencia!$B$2:$E$29,4,FALSE)</f>
        <v>0</v>
      </c>
      <c r="AT15">
        <f t="shared" si="20"/>
        <v>102.78790342417163</v>
      </c>
      <c r="AU15">
        <f t="shared" si="21"/>
        <v>102.78790342417163</v>
      </c>
      <c r="AV15">
        <f t="shared" si="25"/>
        <v>135.6</v>
      </c>
      <c r="AW15">
        <f t="shared" si="22"/>
        <v>135.6</v>
      </c>
      <c r="AX15" t="str">
        <f t="shared" si="23"/>
        <v>Bate</v>
      </c>
    </row>
    <row r="16" spans="1:50" x14ac:dyDescent="0.25">
      <c r="A16" t="s">
        <v>565</v>
      </c>
      <c r="B16" t="s">
        <v>566</v>
      </c>
      <c r="C16">
        <v>2000</v>
      </c>
      <c r="D16">
        <v>2340</v>
      </c>
      <c r="E16" t="s">
        <v>542</v>
      </c>
      <c r="F16" t="s">
        <v>478</v>
      </c>
      <c r="G16" t="s">
        <v>618</v>
      </c>
      <c r="H16" t="s">
        <v>619</v>
      </c>
      <c r="I16">
        <v>1</v>
      </c>
      <c r="J16" t="s">
        <v>549</v>
      </c>
      <c r="K16" t="s">
        <v>612</v>
      </c>
      <c r="L16" t="s">
        <v>613</v>
      </c>
      <c r="M16" s="18" t="str">
        <f t="shared" si="0"/>
        <v>012340011FERR2000-05042_2340</v>
      </c>
      <c r="N16" s="18" t="str">
        <f t="shared" si="1"/>
        <v>OPP</v>
      </c>
      <c r="O16" s="18" t="str">
        <f t="shared" si="2"/>
        <v>OPP2340</v>
      </c>
      <c r="P16" s="18" t="str">
        <f t="shared" si="3"/>
        <v>OPP2340Mecânica</v>
      </c>
      <c r="Q16" s="18" t="str">
        <f t="shared" si="4"/>
        <v>OPP2340Mecânica#Fornecimento de Equipamento</v>
      </c>
      <c r="R16" s="19" t="s">
        <v>665</v>
      </c>
      <c r="S16" s="18">
        <f t="shared" si="5"/>
        <v>1</v>
      </c>
      <c r="T16" s="18" t="str">
        <f t="shared" si="6"/>
        <v>EBN.OPP.2340.INM-01-0115</v>
      </c>
      <c r="U16" s="18" t="str">
        <f>IF(AND(J16&lt;&gt;"FIXO",E16="Fornecimento de Equipamento"),"#"&amp;montDes(E16,G16,H16),montDes(E16,G16,H16))</f>
        <v>#Fornecimento de Equipamento - Ponta de chave de fenda, torx T20, encaixe sextavado 1/4", comprimento total 150mm - FERR2000-05042_2340</v>
      </c>
      <c r="V16" t="str">
        <f t="shared" si="7"/>
        <v>FERR2000-05042_2340</v>
      </c>
      <c r="W16" t="str">
        <f t="shared" si="8"/>
        <v>UN</v>
      </c>
      <c r="X16" t="s">
        <v>673</v>
      </c>
      <c r="Y16">
        <f t="shared" si="9"/>
        <v>1</v>
      </c>
      <c r="Z16" s="19" t="s">
        <v>665</v>
      </c>
      <c r="AA16" t="str">
        <f t="shared" si="10"/>
        <v>#Fornecimento de Equipamento - Mecânica</v>
      </c>
      <c r="AB16" t="str">
        <f t="shared" si="11"/>
        <v>62151115</v>
      </c>
      <c r="AC16" t="str">
        <f>_xlfn.XLOOKUP(AA16,referencia!A:A,referencia!B:B,"Error",0,1)</f>
        <v>97000109</v>
      </c>
      <c r="AD16" t="str">
        <f t="shared" si="12"/>
        <v>0,0033</v>
      </c>
      <c r="AE16" t="str">
        <f>IF(OR(E16 = "Fornecimento de Equipamento",E16 ="#Fornecimento de Equipamento"),codMateriais(C16,A16,Z16),"")</f>
        <v>22151015</v>
      </c>
      <c r="AG16" t="str">
        <f t="shared" si="13"/>
        <v>Ponta de chave de fenda, torx T20, encaixe sextavado 1/4", comprimento total 150mm - FERR2000-05042_2340</v>
      </c>
      <c r="AH16" t="str">
        <f t="shared" si="14"/>
        <v>UN</v>
      </c>
      <c r="AI16" t="str">
        <f t="shared" si="15"/>
        <v>102,48</v>
      </c>
      <c r="AJ16" t="str">
        <f t="shared" si="16"/>
        <v>R$</v>
      </c>
      <c r="AK16">
        <f>IF(AND(E16 &lt;&gt; "*Supervisão*", E16 &lt;&gt; "Hookup Elétrico", E16 &lt;&gt; "Hookup Instrumentação", E16 &lt;&gt; "Hookup Tubulação"),VLOOKUP(AC16,referencia!$B$2:$C$29,2,FALSE),"")</f>
        <v>93.304067930797274</v>
      </c>
      <c r="AL16" t="str">
        <f t="shared" si="17"/>
        <v>62151115</v>
      </c>
      <c r="AM16" t="str">
        <f>IF(AND(E16 &lt;&gt; "*Supervisão*", E16 &lt;&gt; "Hookup Elétrico", E16 &lt;&gt; "Hookup Instrumentação", E16 &lt;&gt; "Hookup Tubulação"),IF(OR(E16 = "Fornecimento de Equipamento",E16 ="#Fornecimento de Equipamento"),AE16,VLOOKUP(AC16,referencia!$B$2:$D$29,3,FALSE)),"")</f>
        <v>22151015</v>
      </c>
      <c r="AN16">
        <f t="shared" si="24"/>
        <v>1</v>
      </c>
      <c r="AO16" t="str">
        <f>IF($E16 = "Preservação",VLOOKUP(AC16,referencia!$B$1:$G$29,6,FALSE),"")</f>
        <v/>
      </c>
      <c r="AP16" t="str">
        <f t="shared" si="18"/>
        <v/>
      </c>
      <c r="AQ16" t="str">
        <f>IF($E16 = "Preservação",VLOOKUP(AC16,referencia!$B$1:$F$29,5,FALSE),"")</f>
        <v/>
      </c>
      <c r="AR16" t="str">
        <f t="shared" si="19"/>
        <v/>
      </c>
      <c r="AS16">
        <f>VLOOKUP(AC16,referencia!$B$2:$E$29,4,FALSE)</f>
        <v>0</v>
      </c>
      <c r="AT16">
        <f t="shared" si="20"/>
        <v>102.78790342417163</v>
      </c>
      <c r="AU16">
        <f t="shared" si="21"/>
        <v>102.78790342417163</v>
      </c>
      <c r="AV16">
        <f t="shared" si="25"/>
        <v>127.21</v>
      </c>
      <c r="AW16">
        <f t="shared" si="22"/>
        <v>127.21</v>
      </c>
      <c r="AX16" t="str">
        <f t="shared" si="23"/>
        <v>Bate</v>
      </c>
    </row>
    <row r="17" spans="1:50" x14ac:dyDescent="0.25">
      <c r="A17" t="s">
        <v>565</v>
      </c>
      <c r="B17" t="s">
        <v>566</v>
      </c>
      <c r="C17">
        <v>2000</v>
      </c>
      <c r="D17">
        <v>2340</v>
      </c>
      <c r="E17" t="s">
        <v>542</v>
      </c>
      <c r="F17" t="s">
        <v>478</v>
      </c>
      <c r="G17" t="s">
        <v>620</v>
      </c>
      <c r="H17" t="s">
        <v>621</v>
      </c>
      <c r="I17">
        <v>1</v>
      </c>
      <c r="J17" t="s">
        <v>549</v>
      </c>
      <c r="K17" t="s">
        <v>622</v>
      </c>
      <c r="L17" t="s">
        <v>623</v>
      </c>
      <c r="M17" s="18" t="str">
        <f t="shared" si="0"/>
        <v>012340011FERR2000-05044_2340</v>
      </c>
      <c r="N17" s="18" t="str">
        <f t="shared" si="1"/>
        <v>OPP</v>
      </c>
      <c r="O17" s="18" t="str">
        <f t="shared" si="2"/>
        <v>OPP2340</v>
      </c>
      <c r="P17" s="18" t="str">
        <f t="shared" si="3"/>
        <v>OPP2340Mecânica</v>
      </c>
      <c r="Q17" s="18" t="str">
        <f t="shared" si="4"/>
        <v>OPP2340Mecânica#Fornecimento de Equipamento</v>
      </c>
      <c r="R17" s="19" t="s">
        <v>666</v>
      </c>
      <c r="S17" s="18">
        <f t="shared" si="5"/>
        <v>1</v>
      </c>
      <c r="T17" s="18" t="str">
        <f t="shared" si="6"/>
        <v>EBN.OPP.2340.INM-01-0116</v>
      </c>
      <c r="U17" s="18" t="str">
        <f>IF(AND(J17&lt;&gt;"FIXO",E17="Fornecimento de Equipamento"),"#"&amp;montDes(E17,G17,H17),montDes(E17,G17,H17))</f>
        <v>#Fornecimento de Equipamento - Estilete de precisão, corpo em alumínio, laminas substituíveis - FERR2000-05044_2340</v>
      </c>
      <c r="V17" t="str">
        <f t="shared" si="7"/>
        <v>FERR2000-05044_2340</v>
      </c>
      <c r="W17" t="str">
        <f t="shared" si="8"/>
        <v>UN</v>
      </c>
      <c r="X17" t="s">
        <v>673</v>
      </c>
      <c r="Y17">
        <f t="shared" si="9"/>
        <v>1</v>
      </c>
      <c r="Z17" s="19" t="s">
        <v>666</v>
      </c>
      <c r="AA17" t="str">
        <f t="shared" si="10"/>
        <v>#Fornecimento de Equipamento - Mecânica</v>
      </c>
      <c r="AB17" t="str">
        <f t="shared" si="11"/>
        <v>62151116</v>
      </c>
      <c r="AC17" t="str">
        <f>_xlfn.XLOOKUP(AA17,referencia!A:A,referencia!B:B,"Error",0,1)</f>
        <v>97000109</v>
      </c>
      <c r="AD17" t="str">
        <f t="shared" si="12"/>
        <v>0,0143</v>
      </c>
      <c r="AE17" t="str">
        <f>IF(OR(E17 = "Fornecimento de Equipamento",E17 ="#Fornecimento de Equipamento"),codMateriais(C17,A17,Z17),"")</f>
        <v>22151016</v>
      </c>
      <c r="AG17" t="str">
        <f t="shared" si="13"/>
        <v>Estilete de precisão, corpo em alumínio, laminas substituíveis - FERR2000-05044_2340</v>
      </c>
      <c r="AH17" t="str">
        <f t="shared" si="14"/>
        <v>UN</v>
      </c>
      <c r="AI17" t="str">
        <f t="shared" si="15"/>
        <v>151,93</v>
      </c>
      <c r="AJ17" t="str">
        <f t="shared" si="16"/>
        <v>R$</v>
      </c>
      <c r="AK17">
        <f>IF(AND(E17 &lt;&gt; "*Supervisão*", E17 &lt;&gt; "Hookup Elétrico", E17 &lt;&gt; "Hookup Instrumentação", E17 &lt;&gt; "Hookup Tubulação"),VLOOKUP(AC17,referencia!$B$2:$C$29,2,FALSE),"")</f>
        <v>93.304067930797274</v>
      </c>
      <c r="AL17" t="str">
        <f t="shared" si="17"/>
        <v>62151116</v>
      </c>
      <c r="AM17" t="str">
        <f>IF(AND(E17 &lt;&gt; "*Supervisão*", E17 &lt;&gt; "Hookup Elétrico", E17 &lt;&gt; "Hookup Instrumentação", E17 &lt;&gt; "Hookup Tubulação"),IF(OR(E17 = "Fornecimento de Equipamento",E17 ="#Fornecimento de Equipamento"),AE17,VLOOKUP(AC17,referencia!$B$2:$D$29,3,FALSE)),"")</f>
        <v>22151016</v>
      </c>
      <c r="AN17">
        <f t="shared" si="24"/>
        <v>1</v>
      </c>
      <c r="AO17" t="str">
        <f>IF($E17 = "Preservação",VLOOKUP(AC17,referencia!$B$1:$G$29,6,FALSE),"")</f>
        <v/>
      </c>
      <c r="AP17" t="str">
        <f t="shared" si="18"/>
        <v/>
      </c>
      <c r="AQ17" t="str">
        <f>IF($E17 = "Preservação",VLOOKUP(AC17,referencia!$B$1:$F$29,5,FALSE),"")</f>
        <v/>
      </c>
      <c r="AR17" t="str">
        <f t="shared" si="19"/>
        <v/>
      </c>
      <c r="AS17">
        <f>VLOOKUP(AC17,referencia!$B$2:$E$29,4,FALSE)</f>
        <v>0</v>
      </c>
      <c r="AT17">
        <f t="shared" si="20"/>
        <v>153.2642481714104</v>
      </c>
      <c r="AU17">
        <f t="shared" si="21"/>
        <v>153.2642481714104</v>
      </c>
      <c r="AV17">
        <f t="shared" si="25"/>
        <v>189.68</v>
      </c>
      <c r="AW17">
        <f t="shared" si="22"/>
        <v>189.68</v>
      </c>
      <c r="AX17" t="str">
        <f t="shared" si="23"/>
        <v>Bate</v>
      </c>
    </row>
    <row r="18" spans="1:50" x14ac:dyDescent="0.25">
      <c r="A18" t="s">
        <v>565</v>
      </c>
      <c r="B18" t="s">
        <v>566</v>
      </c>
      <c r="C18">
        <v>2000</v>
      </c>
      <c r="D18">
        <v>2340</v>
      </c>
      <c r="E18" t="s">
        <v>542</v>
      </c>
      <c r="F18" t="s">
        <v>478</v>
      </c>
      <c r="G18" t="s">
        <v>624</v>
      </c>
      <c r="H18" t="s">
        <v>625</v>
      </c>
      <c r="I18">
        <v>1</v>
      </c>
      <c r="J18" t="s">
        <v>549</v>
      </c>
      <c r="K18" t="s">
        <v>626</v>
      </c>
      <c r="L18" t="s">
        <v>627</v>
      </c>
      <c r="M18" s="18" t="str">
        <f t="shared" si="0"/>
        <v>012340011FERR2000-05045_2340</v>
      </c>
      <c r="N18" s="18" t="str">
        <f t="shared" si="1"/>
        <v>OPP</v>
      </c>
      <c r="O18" s="18" t="str">
        <f t="shared" si="2"/>
        <v>OPP2340</v>
      </c>
      <c r="P18" s="18" t="str">
        <f t="shared" si="3"/>
        <v>OPP2340Mecânica</v>
      </c>
      <c r="Q18" s="18" t="str">
        <f t="shared" si="4"/>
        <v>OPP2340Mecânica#Fornecimento de Equipamento</v>
      </c>
      <c r="R18" s="19" t="s">
        <v>667</v>
      </c>
      <c r="S18" s="18">
        <f t="shared" si="5"/>
        <v>1</v>
      </c>
      <c r="T18" s="18" t="str">
        <f t="shared" si="6"/>
        <v>EBN.OPP.2340.INM-01-0117</v>
      </c>
      <c r="U18" s="18" t="str">
        <f>IF(AND(J18&lt;&gt;"FIXO",E18="Fornecimento de Equipamento"),"#"&amp;montDes(E18,G18,H18),montDes(E18,G18,H18))</f>
        <v>#Fornecimento de Equipamento - Paquímetro de profundidade - 0 - 250 mm, graduação 0,02mm - FERR2000-05045_2340</v>
      </c>
      <c r="V18" t="str">
        <f t="shared" si="7"/>
        <v>FERR2000-05045_2340</v>
      </c>
      <c r="W18" t="str">
        <f t="shared" si="8"/>
        <v>UN</v>
      </c>
      <c r="X18" t="s">
        <v>673</v>
      </c>
      <c r="Y18">
        <f t="shared" si="9"/>
        <v>1</v>
      </c>
      <c r="Z18" s="19" t="s">
        <v>667</v>
      </c>
      <c r="AA18" t="str">
        <f t="shared" si="10"/>
        <v>#Fornecimento de Equipamento - Mecânica</v>
      </c>
      <c r="AB18" t="str">
        <f t="shared" si="11"/>
        <v>62151117</v>
      </c>
      <c r="AC18" t="str">
        <f>_xlfn.XLOOKUP(AA18,referencia!A:A,referencia!B:B,"Error",0,1)</f>
        <v>97000109</v>
      </c>
      <c r="AD18" t="str">
        <f t="shared" si="12"/>
        <v>0,0286</v>
      </c>
      <c r="AE18" t="str">
        <f>IF(OR(E18 = "Fornecimento de Equipamento",E18 ="#Fornecimento de Equipamento"),codMateriais(C18,A18,Z18),"")</f>
        <v>22151017</v>
      </c>
      <c r="AG18" t="str">
        <f t="shared" si="13"/>
        <v>Paquímetro de profundidade - 0 - 250 mm, graduação 0,02mm - FERR2000-05045_2340</v>
      </c>
      <c r="AH18" t="str">
        <f t="shared" si="14"/>
        <v>UN</v>
      </c>
      <c r="AI18" t="str">
        <f t="shared" si="15"/>
        <v>303,86</v>
      </c>
      <c r="AJ18" t="str">
        <f t="shared" si="16"/>
        <v>R$</v>
      </c>
      <c r="AK18">
        <f>IF(AND(E18 &lt;&gt; "*Supervisão*", E18 &lt;&gt; "Hookup Elétrico", E18 &lt;&gt; "Hookup Instrumentação", E18 &lt;&gt; "Hookup Tubulação"),VLOOKUP(AC18,referencia!$B$2:$C$29,2,FALSE),"")</f>
        <v>93.304067930797274</v>
      </c>
      <c r="AL18" t="str">
        <f t="shared" si="17"/>
        <v>62151117</v>
      </c>
      <c r="AM18" t="str">
        <f>IF(AND(E18 &lt;&gt; "*Supervisão*", E18 &lt;&gt; "Hookup Elétrico", E18 &lt;&gt; "Hookup Instrumentação", E18 &lt;&gt; "Hookup Tubulação"),IF(OR(E18 = "Fornecimento de Equipamento",E18 ="#Fornecimento de Equipamento"),AE18,VLOOKUP(AC18,referencia!$B$2:$D$29,3,FALSE)),"")</f>
        <v>22151017</v>
      </c>
      <c r="AN18">
        <f t="shared" si="24"/>
        <v>1</v>
      </c>
      <c r="AO18" t="str">
        <f>IF($E18 = "Preservação",VLOOKUP(AC18,referencia!$B$1:$G$29,6,FALSE),"")</f>
        <v/>
      </c>
      <c r="AP18" t="str">
        <f t="shared" si="18"/>
        <v/>
      </c>
      <c r="AQ18" t="str">
        <f>IF($E18 = "Preservação",VLOOKUP(AC18,referencia!$B$1:$F$29,5,FALSE),"")</f>
        <v/>
      </c>
      <c r="AR18" t="str">
        <f t="shared" si="19"/>
        <v/>
      </c>
      <c r="AS18">
        <f>VLOOKUP(AC18,referencia!$B$2:$E$29,4,FALSE)</f>
        <v>0</v>
      </c>
      <c r="AT18">
        <f t="shared" si="20"/>
        <v>306.5284963428208</v>
      </c>
      <c r="AU18">
        <f t="shared" si="21"/>
        <v>306.5284963428208</v>
      </c>
      <c r="AV18">
        <f t="shared" si="25"/>
        <v>379.36</v>
      </c>
      <c r="AW18">
        <f t="shared" si="22"/>
        <v>379.36</v>
      </c>
      <c r="AX18" t="str">
        <f t="shared" si="23"/>
        <v>Bate</v>
      </c>
    </row>
    <row r="19" spans="1:50" x14ac:dyDescent="0.25">
      <c r="A19" t="s">
        <v>565</v>
      </c>
      <c r="B19" t="s">
        <v>566</v>
      </c>
      <c r="C19">
        <v>2000</v>
      </c>
      <c r="D19">
        <v>2340</v>
      </c>
      <c r="E19" t="s">
        <v>542</v>
      </c>
      <c r="F19" t="s">
        <v>478</v>
      </c>
      <c r="G19" t="s">
        <v>628</v>
      </c>
      <c r="H19" t="s">
        <v>629</v>
      </c>
      <c r="I19">
        <v>1</v>
      </c>
      <c r="J19" t="s">
        <v>549</v>
      </c>
      <c r="K19" t="s">
        <v>630</v>
      </c>
      <c r="L19" t="s">
        <v>631</v>
      </c>
      <c r="M19" s="18" t="str">
        <f t="shared" si="0"/>
        <v>012340011FERR2000-05046_2340</v>
      </c>
      <c r="N19" s="18" t="str">
        <f t="shared" si="1"/>
        <v>OPP</v>
      </c>
      <c r="O19" s="18" t="str">
        <f t="shared" si="2"/>
        <v>OPP2340</v>
      </c>
      <c r="P19" s="18" t="str">
        <f t="shared" si="3"/>
        <v>OPP2340Mecânica</v>
      </c>
      <c r="Q19" s="18" t="str">
        <f t="shared" si="4"/>
        <v>OPP2340Mecânica#Fornecimento de Equipamento</v>
      </c>
      <c r="R19" s="19" t="s">
        <v>668</v>
      </c>
      <c r="S19" s="18">
        <f t="shared" si="5"/>
        <v>1</v>
      </c>
      <c r="T19" s="18" t="str">
        <f t="shared" si="6"/>
        <v>EBN.OPP.2340.INM-01-0118</v>
      </c>
      <c r="U19" s="18" t="str">
        <f>IF(AND(J19&lt;&gt;"FIXO",E19="Fornecimento de Equipamento"),"#"&amp;montDes(E19,G19,H19),montDes(E19,G19,H19))</f>
        <v>#Fornecimento de Equipamento - Suporte removível para calibradores de profundidade de 400 mm. Erro máximo permitido (± 0,005mm) - FERR2000-05046_2340</v>
      </c>
      <c r="V19" t="str">
        <f t="shared" si="7"/>
        <v>FERR2000-05046_2340</v>
      </c>
      <c r="W19" t="str">
        <f t="shared" si="8"/>
        <v>UN</v>
      </c>
      <c r="X19" t="s">
        <v>673</v>
      </c>
      <c r="Y19">
        <f t="shared" si="9"/>
        <v>1</v>
      </c>
      <c r="Z19" s="19" t="s">
        <v>668</v>
      </c>
      <c r="AA19" t="str">
        <f t="shared" si="10"/>
        <v>#Fornecimento de Equipamento - Mecânica</v>
      </c>
      <c r="AB19" t="str">
        <f t="shared" si="11"/>
        <v>62151118</v>
      </c>
      <c r="AC19" t="str">
        <f>_xlfn.XLOOKUP(AA19,referencia!A:A,referencia!B:B,"Error",0,1)</f>
        <v>97000109</v>
      </c>
      <c r="AD19" t="str">
        <f t="shared" si="12"/>
        <v>0,0351</v>
      </c>
      <c r="AE19" t="str">
        <f>IF(OR(E19 = "Fornecimento de Equipamento",E19 ="#Fornecimento de Equipamento"),codMateriais(C19,A19,Z19),"")</f>
        <v>22151018</v>
      </c>
      <c r="AG19" t="str">
        <f t="shared" si="13"/>
        <v>Suporte removível para calibradores de profundidade de 400 mm. Erro máximo permitido (± 0,005mm) - FERR2000-05046_2340</v>
      </c>
      <c r="AH19" t="str">
        <f t="shared" si="14"/>
        <v>UN</v>
      </c>
      <c r="AI19" t="str">
        <f t="shared" si="15"/>
        <v>1.088,86</v>
      </c>
      <c r="AJ19" t="str">
        <f t="shared" si="16"/>
        <v>R$</v>
      </c>
      <c r="AK19">
        <f>IF(AND(E19 &lt;&gt; "*Supervisão*", E19 &lt;&gt; "Hookup Elétrico", E19 &lt;&gt; "Hookup Instrumentação", E19 &lt;&gt; "Hookup Tubulação"),VLOOKUP(AC19,referencia!$B$2:$C$29,2,FALSE),"")</f>
        <v>93.304067930797274</v>
      </c>
      <c r="AL19" t="str">
        <f t="shared" si="17"/>
        <v>62151118</v>
      </c>
      <c r="AM19" t="str">
        <f>IF(AND(E19 &lt;&gt; "*Supervisão*", E19 &lt;&gt; "Hookup Elétrico", E19 &lt;&gt; "Hookup Instrumentação", E19 &lt;&gt; "Hookup Tubulação"),IF(OR(E19 = "Fornecimento de Equipamento",E19 ="#Fornecimento de Equipamento"),AE19,VLOOKUP(AC19,referencia!$B$2:$D$29,3,FALSE)),"")</f>
        <v>22151018</v>
      </c>
      <c r="AN19">
        <f t="shared" si="24"/>
        <v>1</v>
      </c>
      <c r="AO19" t="str">
        <f>IF($E19 = "Preservação",VLOOKUP(AC19,referencia!$B$1:$G$29,6,FALSE),"")</f>
        <v/>
      </c>
      <c r="AP19" t="str">
        <f t="shared" si="18"/>
        <v/>
      </c>
      <c r="AQ19" t="str">
        <f>IF($E19 = "Preservação",VLOOKUP(AC19,referencia!$B$1:$F$29,5,FALSE),"")</f>
        <v/>
      </c>
      <c r="AR19" t="str">
        <f t="shared" si="19"/>
        <v/>
      </c>
      <c r="AS19">
        <f>VLOOKUP(AC19,referencia!$B$2:$E$29,4,FALSE)</f>
        <v>0</v>
      </c>
      <c r="AT19">
        <f t="shared" si="20"/>
        <v>1092.1349727843708</v>
      </c>
      <c r="AU19">
        <f t="shared" si="21"/>
        <v>1092.1349727843708</v>
      </c>
      <c r="AV19">
        <f t="shared" si="25"/>
        <v>1351.63</v>
      </c>
      <c r="AW19">
        <f t="shared" si="22"/>
        <v>1351.63</v>
      </c>
      <c r="AX19" t="str">
        <f t="shared" si="23"/>
        <v>Bate</v>
      </c>
    </row>
    <row r="20" spans="1:50" x14ac:dyDescent="0.25">
      <c r="A20" t="s">
        <v>565</v>
      </c>
      <c r="B20" t="s">
        <v>566</v>
      </c>
      <c r="C20">
        <v>2000</v>
      </c>
      <c r="D20">
        <v>2340</v>
      </c>
      <c r="E20" t="s">
        <v>542</v>
      </c>
      <c r="F20" t="s">
        <v>478</v>
      </c>
      <c r="G20" t="s">
        <v>632</v>
      </c>
      <c r="H20" t="s">
        <v>633</v>
      </c>
      <c r="I20">
        <v>1</v>
      </c>
      <c r="J20" t="s">
        <v>549</v>
      </c>
      <c r="K20" t="s">
        <v>634</v>
      </c>
      <c r="L20" t="s">
        <v>635</v>
      </c>
      <c r="M20" s="18" t="str">
        <f t="shared" si="0"/>
        <v>012340011FERR2000-05049_2340</v>
      </c>
      <c r="N20" s="18" t="str">
        <f t="shared" si="1"/>
        <v>OPP</v>
      </c>
      <c r="O20" s="18" t="str">
        <f t="shared" si="2"/>
        <v>OPP2340</v>
      </c>
      <c r="P20" s="18" t="str">
        <f t="shared" si="3"/>
        <v>OPP2340Mecânica</v>
      </c>
      <c r="Q20" s="18" t="str">
        <f t="shared" si="4"/>
        <v>OPP2340Mecânica#Fornecimento de Equipamento</v>
      </c>
      <c r="R20" s="19" t="s">
        <v>669</v>
      </c>
      <c r="S20" s="18">
        <f t="shared" si="5"/>
        <v>1</v>
      </c>
      <c r="T20" s="18" t="str">
        <f t="shared" si="6"/>
        <v>EBN.OPP.2340.INM-01-0119</v>
      </c>
      <c r="U20" s="18" t="str">
        <f>IF(AND(J20&lt;&gt;"FIXO",E20="Fornecimento de Equipamento"),"#"&amp;montDes(E20,G20,H20),montDes(E20,G20,H20))</f>
        <v>#Fornecimento de Equipamento - Barra em aço inoxidável, rosca integral, M6 x 175mm - FERR2000-05049_2340</v>
      </c>
      <c r="V20" t="str">
        <f t="shared" si="7"/>
        <v>FERR2000-05049_2340</v>
      </c>
      <c r="W20" t="str">
        <f t="shared" si="8"/>
        <v>UN</v>
      </c>
      <c r="X20" t="s">
        <v>673</v>
      </c>
      <c r="Y20">
        <f t="shared" si="9"/>
        <v>1</v>
      </c>
      <c r="Z20" s="19" t="s">
        <v>669</v>
      </c>
      <c r="AA20" t="str">
        <f t="shared" si="10"/>
        <v>#Fornecimento de Equipamento - Mecânica</v>
      </c>
      <c r="AB20" t="str">
        <f t="shared" si="11"/>
        <v>62151119</v>
      </c>
      <c r="AC20" t="str">
        <f>_xlfn.XLOOKUP(AA20,referencia!A:A,referencia!B:B,"Error",0,1)</f>
        <v>97000109</v>
      </c>
      <c r="AD20" t="str">
        <f t="shared" si="12"/>
        <v>0,2142</v>
      </c>
      <c r="AE20" t="str">
        <f>IF(OR(E20 = "Fornecimento de Equipamento",E20 ="#Fornecimento de Equipamento"),codMateriais(C20,A20,Z20),"")</f>
        <v>22151019</v>
      </c>
      <c r="AG20" t="str">
        <f t="shared" si="13"/>
        <v>Barra em aço inoxidável, rosca integral, M6 x 175mm - FERR2000-05049_2340</v>
      </c>
      <c r="AH20" t="str">
        <f t="shared" si="14"/>
        <v>UN</v>
      </c>
      <c r="AI20" t="str">
        <f t="shared" si="15"/>
        <v>398,63</v>
      </c>
      <c r="AJ20" t="str">
        <f t="shared" si="16"/>
        <v>R$</v>
      </c>
      <c r="AK20">
        <f>IF(AND(E20 &lt;&gt; "*Supervisão*", E20 &lt;&gt; "Hookup Elétrico", E20 &lt;&gt; "Hookup Instrumentação", E20 &lt;&gt; "Hookup Tubulação"),VLOOKUP(AC20,referencia!$B$2:$C$29,2,FALSE),"")</f>
        <v>93.304067930797274</v>
      </c>
      <c r="AL20" t="str">
        <f t="shared" si="17"/>
        <v>62151119</v>
      </c>
      <c r="AM20" t="str">
        <f>IF(AND(E20 &lt;&gt; "*Supervisão*", E20 &lt;&gt; "Hookup Elétrico", E20 &lt;&gt; "Hookup Instrumentação", E20 &lt;&gt; "Hookup Tubulação"),IF(OR(E20 = "Fornecimento de Equipamento",E20 ="#Fornecimento de Equipamento"),AE20,VLOOKUP(AC20,referencia!$B$2:$D$29,3,FALSE)),"")</f>
        <v>22151019</v>
      </c>
      <c r="AN20">
        <f t="shared" si="24"/>
        <v>1</v>
      </c>
      <c r="AO20" t="str">
        <f>IF($E20 = "Preservação",VLOOKUP(AC20,referencia!$B$1:$G$29,6,FALSE),"")</f>
        <v/>
      </c>
      <c r="AP20" t="str">
        <f t="shared" si="18"/>
        <v/>
      </c>
      <c r="AQ20" t="str">
        <f>IF($E20 = "Preservação",VLOOKUP(AC20,referencia!$B$1:$F$29,5,FALSE),"")</f>
        <v/>
      </c>
      <c r="AR20" t="str">
        <f t="shared" si="19"/>
        <v/>
      </c>
      <c r="AS20">
        <f>VLOOKUP(AC20,referencia!$B$2:$E$29,4,FALSE)</f>
        <v>0</v>
      </c>
      <c r="AT20">
        <f t="shared" si="20"/>
        <v>418.6157313507768</v>
      </c>
      <c r="AU20">
        <f t="shared" si="21"/>
        <v>418.6157313507768</v>
      </c>
      <c r="AV20">
        <f t="shared" si="25"/>
        <v>518.08000000000004</v>
      </c>
      <c r="AW20">
        <f t="shared" si="22"/>
        <v>518.08000000000004</v>
      </c>
      <c r="AX20" t="str">
        <f t="shared" si="23"/>
        <v>Bate</v>
      </c>
    </row>
    <row r="21" spans="1:50" x14ac:dyDescent="0.25">
      <c r="A21" t="s">
        <v>565</v>
      </c>
      <c r="B21" t="s">
        <v>566</v>
      </c>
      <c r="C21">
        <v>2000</v>
      </c>
      <c r="D21">
        <v>2340</v>
      </c>
      <c r="E21" t="s">
        <v>542</v>
      </c>
      <c r="F21" t="s">
        <v>478</v>
      </c>
      <c r="G21" t="s">
        <v>636</v>
      </c>
      <c r="H21" t="s">
        <v>637</v>
      </c>
      <c r="I21">
        <v>1</v>
      </c>
      <c r="J21" t="s">
        <v>549</v>
      </c>
      <c r="K21" t="s">
        <v>638</v>
      </c>
      <c r="L21" t="s">
        <v>639</v>
      </c>
      <c r="M21" s="18" t="str">
        <f t="shared" si="0"/>
        <v>012340011FERR2000-05050_2340</v>
      </c>
      <c r="N21" s="18" t="str">
        <f t="shared" si="1"/>
        <v>OPP</v>
      </c>
      <c r="O21" s="18" t="str">
        <f t="shared" si="2"/>
        <v>OPP2340</v>
      </c>
      <c r="P21" s="18" t="str">
        <f t="shared" si="3"/>
        <v>OPP2340Mecânica</v>
      </c>
      <c r="Q21" s="18" t="str">
        <f t="shared" si="4"/>
        <v>OPP2340Mecânica#Fornecimento de Equipamento</v>
      </c>
      <c r="R21" s="19" t="s">
        <v>670</v>
      </c>
      <c r="S21" s="18">
        <f t="shared" si="5"/>
        <v>1</v>
      </c>
      <c r="T21" s="18" t="str">
        <f t="shared" si="6"/>
        <v>EBN.OPP.2340.INM-01-0120</v>
      </c>
      <c r="U21" s="18" t="str">
        <f>IF(AND(J21&lt;&gt;"FIXO",E21="Fornecimento de Equipamento"),"#"&amp;montDes(E21,G21,H21),montDes(E21,G21,H21))</f>
        <v>#Fornecimento de Equipamento - Barra em aço inoxidável - S-304 Grau A2, rosca integral, M4 x 250mm. - FERR2000-05050_2340</v>
      </c>
      <c r="V21" t="str">
        <f t="shared" si="7"/>
        <v>FERR2000-05050_2340</v>
      </c>
      <c r="W21" t="str">
        <f t="shared" si="8"/>
        <v>UN</v>
      </c>
      <c r="X21" t="s">
        <v>673</v>
      </c>
      <c r="Y21">
        <f t="shared" si="9"/>
        <v>1</v>
      </c>
      <c r="Z21" s="19" t="s">
        <v>670</v>
      </c>
      <c r="AA21" t="str">
        <f t="shared" si="10"/>
        <v>#Fornecimento de Equipamento - Mecânica</v>
      </c>
      <c r="AB21" t="str">
        <f t="shared" si="11"/>
        <v>62151120</v>
      </c>
      <c r="AC21" t="str">
        <f>_xlfn.XLOOKUP(AA21,referencia!A:A,referencia!B:B,"Error",0,1)</f>
        <v>97000109</v>
      </c>
      <c r="AD21" t="str">
        <f t="shared" si="12"/>
        <v>0,002</v>
      </c>
      <c r="AE21" t="str">
        <f>IF(OR(E21 = "Fornecimento de Equipamento",E21 ="#Fornecimento de Equipamento"),codMateriais(C21,A21,Z21),"")</f>
        <v>22151020</v>
      </c>
      <c r="AG21" t="str">
        <f t="shared" si="13"/>
        <v>Barra em aço inoxidável - S-304 Grau A2, rosca integral, M4 x 250mm. - FERR2000-05050_2340</v>
      </c>
      <c r="AH21" t="str">
        <f t="shared" si="14"/>
        <v>UN</v>
      </c>
      <c r="AI21" t="str">
        <f t="shared" si="15"/>
        <v>61,81</v>
      </c>
      <c r="AJ21" t="str">
        <f t="shared" si="16"/>
        <v>R$</v>
      </c>
      <c r="AK21">
        <f>IF(AND(E21 &lt;&gt; "*Supervisão*", E21 &lt;&gt; "Hookup Elétrico", E21 &lt;&gt; "Hookup Instrumentação", E21 &lt;&gt; "Hookup Tubulação"),VLOOKUP(AC21,referencia!$B$2:$C$29,2,FALSE),"")</f>
        <v>93.304067930797274</v>
      </c>
      <c r="AL21" t="str">
        <f t="shared" si="17"/>
        <v>62151120</v>
      </c>
      <c r="AM21" t="str">
        <f>IF(AND(E21 &lt;&gt; "*Supervisão*", E21 &lt;&gt; "Hookup Elétrico", E21 &lt;&gt; "Hookup Instrumentação", E21 &lt;&gt; "Hookup Tubulação"),IF(OR(E21 = "Fornecimento de Equipamento",E21 ="#Fornecimento de Equipamento"),AE21,VLOOKUP(AC21,referencia!$B$2:$D$29,3,FALSE)),"")</f>
        <v>22151020</v>
      </c>
      <c r="AN21">
        <f t="shared" si="24"/>
        <v>1</v>
      </c>
      <c r="AO21" t="str">
        <f>IF($E21 = "Preservação",VLOOKUP(AC21,referencia!$B$1:$G$29,6,FALSE),"")</f>
        <v/>
      </c>
      <c r="AP21" t="str">
        <f t="shared" si="18"/>
        <v/>
      </c>
      <c r="AQ21" t="str">
        <f>IF($E21 = "Preservação",VLOOKUP(AC21,referencia!$B$1:$F$29,5,FALSE),"")</f>
        <v/>
      </c>
      <c r="AR21" t="str">
        <f t="shared" si="19"/>
        <v/>
      </c>
      <c r="AS21">
        <f>VLOOKUP(AC21,referencia!$B$2:$E$29,4,FALSE)</f>
        <v>0</v>
      </c>
      <c r="AT21">
        <f t="shared" si="20"/>
        <v>61.996608135861599</v>
      </c>
      <c r="AU21">
        <f t="shared" si="21"/>
        <v>61.996608135861599</v>
      </c>
      <c r="AV21">
        <f t="shared" si="25"/>
        <v>76.73</v>
      </c>
      <c r="AW21">
        <f t="shared" si="22"/>
        <v>76.73</v>
      </c>
      <c r="AX21" t="str">
        <f t="shared" si="23"/>
        <v>Bate</v>
      </c>
    </row>
    <row r="22" spans="1:50" x14ac:dyDescent="0.25">
      <c r="A22" t="s">
        <v>565</v>
      </c>
      <c r="B22" t="s">
        <v>566</v>
      </c>
      <c r="C22">
        <v>2000</v>
      </c>
      <c r="D22">
        <v>2340</v>
      </c>
      <c r="E22" t="s">
        <v>542</v>
      </c>
      <c r="F22" t="s">
        <v>478</v>
      </c>
      <c r="G22" t="s">
        <v>640</v>
      </c>
      <c r="H22" t="s">
        <v>641</v>
      </c>
      <c r="I22">
        <v>1</v>
      </c>
      <c r="J22" t="s">
        <v>549</v>
      </c>
      <c r="K22" t="s">
        <v>642</v>
      </c>
      <c r="L22" t="s">
        <v>643</v>
      </c>
      <c r="M22" s="18" t="str">
        <f t="shared" si="0"/>
        <v>012340011FERR2000-05053_2340</v>
      </c>
      <c r="N22" s="18" t="str">
        <f t="shared" si="1"/>
        <v>OPP</v>
      </c>
      <c r="O22" s="18" t="str">
        <f t="shared" si="2"/>
        <v>OPP2340</v>
      </c>
      <c r="P22" s="18" t="str">
        <f t="shared" si="3"/>
        <v>OPP2340Mecânica</v>
      </c>
      <c r="Q22" s="18" t="str">
        <f t="shared" si="4"/>
        <v>OPP2340Mecânica#Fornecimento de Equipamento</v>
      </c>
      <c r="R22" s="19" t="s">
        <v>671</v>
      </c>
      <c r="S22" s="18">
        <f t="shared" si="5"/>
        <v>1</v>
      </c>
      <c r="T22" s="18" t="str">
        <f t="shared" si="6"/>
        <v>EBN.OPP.2340.INM-01-0121</v>
      </c>
      <c r="U22" s="18" t="str">
        <f>IF(AND(J22&lt;&gt;"FIXO",E22="Fornecimento de Equipamento"),"#"&amp;montDes(E22,G22,H22),montDes(E22,G22,H22))</f>
        <v>#Fornecimento de Equipamento - Jogo de calços de precisão, com 47 peças classe 2. - FERR2000-05053_2340</v>
      </c>
      <c r="V22" t="str">
        <f t="shared" si="7"/>
        <v>FERR2000-05053_2340</v>
      </c>
      <c r="W22" t="str">
        <f t="shared" si="8"/>
        <v>UN</v>
      </c>
      <c r="X22" t="s">
        <v>673</v>
      </c>
      <c r="Y22">
        <f t="shared" si="9"/>
        <v>1</v>
      </c>
      <c r="Z22" s="19" t="s">
        <v>671</v>
      </c>
      <c r="AA22" t="str">
        <f t="shared" si="10"/>
        <v>#Fornecimento de Equipamento - Mecânica</v>
      </c>
      <c r="AB22" t="str">
        <f t="shared" si="11"/>
        <v>62151121</v>
      </c>
      <c r="AC22" t="str">
        <f>_xlfn.XLOOKUP(AA22,referencia!A:A,referencia!B:B,"Error",0,1)</f>
        <v>97000109</v>
      </c>
      <c r="AD22" t="str">
        <f t="shared" si="12"/>
        <v>0,0711</v>
      </c>
      <c r="AE22" t="str">
        <f>IF(OR(E22 = "Fornecimento de Equipamento",E22 ="#Fornecimento de Equipamento"),codMateriais(C22,A22,Z22),"")</f>
        <v>22151021</v>
      </c>
      <c r="AG22" t="str">
        <f t="shared" si="13"/>
        <v>Jogo de calços de precisão, com 47 peças classe 2. - FERR2000-05053_2340</v>
      </c>
      <c r="AH22" t="str">
        <f t="shared" si="14"/>
        <v>UN</v>
      </c>
      <c r="AI22" t="str">
        <f t="shared" si="15"/>
        <v>2.207,62</v>
      </c>
      <c r="AJ22" t="str">
        <f t="shared" si="16"/>
        <v>R$</v>
      </c>
      <c r="AK22">
        <f>IF(AND(E22 &lt;&gt; "*Supervisão*", E22 &lt;&gt; "Hookup Elétrico", E22 &lt;&gt; "Hookup Instrumentação", E22 &lt;&gt; "Hookup Tubulação"),VLOOKUP(AC22,referencia!$B$2:$C$29,2,FALSE),"")</f>
        <v>93.304067930797274</v>
      </c>
      <c r="AL22" t="str">
        <f t="shared" si="17"/>
        <v>62151121</v>
      </c>
      <c r="AM22" t="str">
        <f>IF(AND(E22 &lt;&gt; "*Supervisão*", E22 &lt;&gt; "Hookup Elétrico", E22 &lt;&gt; "Hookup Instrumentação", E22 &lt;&gt; "Hookup Tubulação"),IF(OR(E22 = "Fornecimento de Equipamento",E22 ="#Fornecimento de Equipamento"),AE22,VLOOKUP(AC22,referencia!$B$2:$D$29,3,FALSE)),"")</f>
        <v>22151021</v>
      </c>
      <c r="AN22">
        <f t="shared" si="24"/>
        <v>1</v>
      </c>
      <c r="AO22" t="str">
        <f>IF($E22 = "Preservação",VLOOKUP(AC22,referencia!$B$1:$G$29,6,FALSE),"")</f>
        <v/>
      </c>
      <c r="AP22" t="str">
        <f t="shared" si="18"/>
        <v/>
      </c>
      <c r="AQ22" t="str">
        <f>IF($E22 = "Preservação",VLOOKUP(AC22,referencia!$B$1:$F$29,5,FALSE),"")</f>
        <v/>
      </c>
      <c r="AR22" t="str">
        <f t="shared" si="19"/>
        <v/>
      </c>
      <c r="AS22">
        <f>VLOOKUP(AC22,referencia!$B$2:$E$29,4,FALSE)</f>
        <v>0</v>
      </c>
      <c r="AT22">
        <f t="shared" si="20"/>
        <v>2214.2539192298796</v>
      </c>
      <c r="AU22">
        <f t="shared" si="21"/>
        <v>2214.2539192298796</v>
      </c>
      <c r="AV22">
        <f t="shared" si="25"/>
        <v>2740.36</v>
      </c>
      <c r="AW22">
        <f t="shared" si="22"/>
        <v>2740.36</v>
      </c>
      <c r="AX22" t="str">
        <f t="shared" si="23"/>
        <v>Bate</v>
      </c>
    </row>
    <row r="23" spans="1:50" x14ac:dyDescent="0.25">
      <c r="A23" t="s">
        <v>565</v>
      </c>
      <c r="B23" t="s">
        <v>566</v>
      </c>
      <c r="C23">
        <v>2000</v>
      </c>
      <c r="D23">
        <v>2340</v>
      </c>
      <c r="E23" t="s">
        <v>542</v>
      </c>
      <c r="F23" t="s">
        <v>478</v>
      </c>
      <c r="G23" t="s">
        <v>644</v>
      </c>
      <c r="H23" t="s">
        <v>645</v>
      </c>
      <c r="I23">
        <v>1</v>
      </c>
      <c r="J23" t="s">
        <v>549</v>
      </c>
      <c r="K23" t="s">
        <v>646</v>
      </c>
      <c r="L23" t="s">
        <v>647</v>
      </c>
      <c r="M23" s="18" t="str">
        <f t="shared" si="0"/>
        <v>012340011FERR2000-05054_2340</v>
      </c>
      <c r="N23" s="18" t="str">
        <f t="shared" si="1"/>
        <v>OPP</v>
      </c>
      <c r="O23" s="18" t="str">
        <f t="shared" si="2"/>
        <v>OPP2340</v>
      </c>
      <c r="P23" s="18" t="str">
        <f t="shared" si="3"/>
        <v>OPP2340Mecânica</v>
      </c>
      <c r="Q23" s="18" t="str">
        <f t="shared" si="4"/>
        <v>OPP2340Mecânica#Fornecimento de Equipamento</v>
      </c>
      <c r="R23" s="19" t="s">
        <v>672</v>
      </c>
      <c r="S23" s="18">
        <f t="shared" si="5"/>
        <v>1</v>
      </c>
      <c r="T23" s="18" t="str">
        <f t="shared" si="6"/>
        <v>EBN.OPP.2340.INM-01-0122</v>
      </c>
      <c r="U23" s="18" t="str">
        <f>IF(AND(J23&lt;&gt;"FIXO",E23="Fornecimento de Equipamento"),"#"&amp;montDes(E23,G23,H23),montDes(E23,G23,H23))</f>
        <v>#Fornecimento de Equipamento - Haste de aço, Ø 20 mm x 1600 mm - FERR2000-05054_2340</v>
      </c>
      <c r="V23" t="str">
        <f t="shared" si="7"/>
        <v>FERR2000-05054_2340</v>
      </c>
      <c r="W23" t="str">
        <f t="shared" si="8"/>
        <v>UN</v>
      </c>
      <c r="X23" t="s">
        <v>673</v>
      </c>
      <c r="Y23">
        <f t="shared" si="9"/>
        <v>1</v>
      </c>
      <c r="Z23" s="19" t="s">
        <v>672</v>
      </c>
      <c r="AA23" t="str">
        <f t="shared" si="10"/>
        <v>#Fornecimento de Equipamento - Mecânica</v>
      </c>
      <c r="AB23" t="str">
        <f t="shared" si="11"/>
        <v>62151122</v>
      </c>
      <c r="AC23" t="str">
        <f>_xlfn.XLOOKUP(AA23,referencia!A:A,referencia!B:B,"Error",0,1)</f>
        <v>97000109</v>
      </c>
      <c r="AD23" t="str">
        <f t="shared" si="12"/>
        <v>0,016</v>
      </c>
      <c r="AE23" t="str">
        <f>IF(OR(E23 = "Fornecimento de Equipamento",E23 ="#Fornecimento de Equipamento"),codMateriais(C23,A23,Z23),"")</f>
        <v>22151022</v>
      </c>
      <c r="AG23" t="str">
        <f t="shared" si="13"/>
        <v>Haste de aço, Ø 20 mm x 1600 mm - FERR2000-05054_2340</v>
      </c>
      <c r="AH23" t="str">
        <f t="shared" si="14"/>
        <v>UN</v>
      </c>
      <c r="AI23" t="str">
        <f t="shared" si="15"/>
        <v>497,46</v>
      </c>
      <c r="AJ23" t="str">
        <f t="shared" si="16"/>
        <v>R$</v>
      </c>
      <c r="AK23">
        <f>IF(AND(E23 &lt;&gt; "*Supervisão*", E23 &lt;&gt; "Hookup Elétrico", E23 &lt;&gt; "Hookup Instrumentação", E23 &lt;&gt; "Hookup Tubulação"),VLOOKUP(AC23,referencia!$B$2:$C$29,2,FALSE),"")</f>
        <v>93.304067930797274</v>
      </c>
      <c r="AL23" t="str">
        <f t="shared" si="17"/>
        <v>62151122</v>
      </c>
      <c r="AM23" t="str">
        <f>IF(AND(E23 &lt;&gt; "*Supervisão*", E23 &lt;&gt; "Hookup Elétrico", E23 &lt;&gt; "Hookup Instrumentação", E23 &lt;&gt; "Hookup Tubulação"),IF(OR(E23 = "Fornecimento de Equipamento",E23 ="#Fornecimento de Equipamento"),AE23,VLOOKUP(AC23,referencia!$B$2:$D$29,3,FALSE)),"")</f>
        <v>22151022</v>
      </c>
      <c r="AN23">
        <f t="shared" si="24"/>
        <v>1</v>
      </c>
      <c r="AO23" t="str">
        <f>IF($E23 = "Preservação",VLOOKUP(AC23,referencia!$B$1:$G$29,6,FALSE),"")</f>
        <v/>
      </c>
      <c r="AP23" t="str">
        <f t="shared" si="18"/>
        <v/>
      </c>
      <c r="AQ23" t="str">
        <f>IF($E23 = "Preservação",VLOOKUP(AC23,referencia!$B$1:$F$29,5,FALSE),"")</f>
        <v/>
      </c>
      <c r="AR23" t="str">
        <f t="shared" si="19"/>
        <v/>
      </c>
      <c r="AS23">
        <f>VLOOKUP(AC23,referencia!$B$2:$E$29,4,FALSE)</f>
        <v>0</v>
      </c>
      <c r="AT23">
        <f t="shared" si="20"/>
        <v>498.95286508689276</v>
      </c>
      <c r="AU23">
        <f t="shared" si="21"/>
        <v>498.95286508689276</v>
      </c>
      <c r="AV23">
        <f t="shared" si="25"/>
        <v>617.5</v>
      </c>
      <c r="AW23">
        <f t="shared" si="22"/>
        <v>617.5</v>
      </c>
      <c r="AX23" t="str">
        <f t="shared" si="23"/>
        <v>Bate</v>
      </c>
    </row>
    <row r="24" spans="1:50" x14ac:dyDescent="0.25">
      <c r="A24" t="s">
        <v>565</v>
      </c>
      <c r="B24" t="s">
        <v>566</v>
      </c>
      <c r="C24">
        <v>2000</v>
      </c>
      <c r="D24">
        <v>2340</v>
      </c>
      <c r="E24" t="s">
        <v>480</v>
      </c>
      <c r="F24" t="s">
        <v>478</v>
      </c>
      <c r="G24" t="s">
        <v>567</v>
      </c>
      <c r="H24" t="s">
        <v>568</v>
      </c>
      <c r="I24">
        <v>6</v>
      </c>
      <c r="J24" t="s">
        <v>549</v>
      </c>
      <c r="K24" t="s">
        <v>648</v>
      </c>
      <c r="L24" t="s">
        <v>649</v>
      </c>
      <c r="M24" s="18" t="str">
        <f t="shared" si="0"/>
        <v>022340021FERR2000-05002_2340</v>
      </c>
      <c r="N24" s="18" t="str">
        <f t="shared" si="1"/>
        <v>OCC</v>
      </c>
      <c r="O24" s="18" t="str">
        <f t="shared" si="2"/>
        <v>OCC2340</v>
      </c>
      <c r="P24" s="18" t="str">
        <f t="shared" si="3"/>
        <v>OCC2340Mecânica</v>
      </c>
      <c r="Q24" s="18" t="str">
        <f t="shared" si="4"/>
        <v>OCC2340MecânicaPreservação</v>
      </c>
      <c r="R24" s="19" t="s">
        <v>651</v>
      </c>
      <c r="S24" s="18">
        <f t="shared" si="5"/>
        <v>2</v>
      </c>
      <c r="T24" s="18" t="str">
        <f t="shared" si="6"/>
        <v>EBN.OCC.2340.INM-01-0201</v>
      </c>
      <c r="U24" s="18" t="str">
        <f>IF(AND(J24&lt;&gt;"FIXO",E24="Fornecimento de Equipamento"),"#"&amp;montDes(E24,G24,H24),montDes(E24,G24,H24))</f>
        <v>Preservação - CARRO PORTA FERRAMENTAS; 4 MÓDULOS POR GAVETA; CAPACIDADE TOTAL DE CARGA DE 175 A 210 kg EM GAVETAS, DIMENSÕES DA BANCADA - 797 X 461; EQUIPADO COM 4 RODÍZIOS DE 125 mm, SENDO 2 GIRATÓRIOS (1 COM FREIO) E 2 FIXOS. DIMENSÕES DO CARRO - (L x P x A) - 1004 x - FERR2000-05002_2340</v>
      </c>
      <c r="V24" t="str">
        <f t="shared" si="7"/>
        <v>FERR2000-05002_2340</v>
      </c>
      <c r="W24" t="str">
        <f t="shared" si="8"/>
        <v>UN/mês</v>
      </c>
      <c r="X24" t="s">
        <v>673</v>
      </c>
      <c r="Y24">
        <f t="shared" si="9"/>
        <v>6</v>
      </c>
      <c r="Z24" s="19" t="s">
        <v>674</v>
      </c>
      <c r="AA24" t="str">
        <f t="shared" si="10"/>
        <v>Preservação - Mecânica</v>
      </c>
      <c r="AB24" t="str">
        <f t="shared" si="11"/>
        <v>62151123</v>
      </c>
      <c r="AC24" t="str">
        <f>_xlfn.XLOOKUP(AA24,referencia!A:A,referencia!B:B,"Error",0,1)</f>
        <v>94002442</v>
      </c>
      <c r="AD24" t="str">
        <f t="shared" si="12"/>
        <v>1,00</v>
      </c>
      <c r="AE24" t="str">
        <f>IF(OR(E24 = "Fornecimento de Equipamento",E24 ="#Fornecimento de Equipamento"),codMateriais(C24,A24,Z24),"")</f>
        <v/>
      </c>
      <c r="AG24" t="str">
        <f t="shared" si="13"/>
        <v/>
      </c>
      <c r="AH24" t="str">
        <f t="shared" si="14"/>
        <v/>
      </c>
      <c r="AI24" t="str">
        <f t="shared" si="15"/>
        <v/>
      </c>
      <c r="AJ24" t="str">
        <f t="shared" si="16"/>
        <v/>
      </c>
      <c r="AK24">
        <f>IF(AND(E24 &lt;&gt; "*Supervisão*", E24 &lt;&gt; "Hookup Elétrico", E24 &lt;&gt; "Hookup Instrumentação", E24 &lt;&gt; "Hookup Tubulação"),VLOOKUP(AC24,referencia!$B$2:$C$29,2,FALSE),"")</f>
        <v>16.887</v>
      </c>
      <c r="AL24" t="str">
        <f t="shared" si="17"/>
        <v>62151123</v>
      </c>
      <c r="AM24">
        <f>IF(AND(E24 &lt;&gt; "*Supervisão*", E24 &lt;&gt; "Hookup Elétrico", E24 &lt;&gt; "Hookup Instrumentação", E24 &lt;&gt; "Hookup Tubulação"),IF(OR(E24 = "Fornecimento de Equipamento",E24 ="#Fornecimento de Equipamento"),AE24,VLOOKUP(AC24,referencia!$B$2:$D$29,3,FALSE)),"")</f>
        <v>23000004</v>
      </c>
      <c r="AN24">
        <f t="shared" si="24"/>
        <v>16.887</v>
      </c>
      <c r="AO24">
        <f>IF($E24 = "Preservação",VLOOKUP(AC24,referencia!$B$1:$G$29,6,FALSE),"")</f>
        <v>7463.61</v>
      </c>
      <c r="AP24" t="str">
        <f t="shared" si="18"/>
        <v>62151123</v>
      </c>
      <c r="AQ24">
        <f>IF($E24 = "Preservação",VLOOKUP(AC24,referencia!$B$1:$F$29,5,FALSE),"")</f>
        <v>23000188</v>
      </c>
      <c r="AR24">
        <f t="shared" si="19"/>
        <v>1.1312890142973709E-4</v>
      </c>
      <c r="AS24">
        <f>VLOOKUP(AC24,referencia!$B$2:$E$29,4,FALSE)</f>
        <v>0.15</v>
      </c>
      <c r="AT24">
        <f t="shared" si="20"/>
        <v>20.264399999999998</v>
      </c>
      <c r="AU24">
        <f t="shared" si="21"/>
        <v>121.5864</v>
      </c>
      <c r="AV24">
        <f t="shared" si="25"/>
        <v>26.73</v>
      </c>
      <c r="AW24">
        <f t="shared" si="22"/>
        <v>160.38</v>
      </c>
      <c r="AX24" t="str">
        <f t="shared" si="23"/>
        <v>Diferente</v>
      </c>
    </row>
    <row r="25" spans="1:50" x14ac:dyDescent="0.25">
      <c r="A25" t="s">
        <v>565</v>
      </c>
      <c r="B25" t="s">
        <v>566</v>
      </c>
      <c r="C25">
        <v>2000</v>
      </c>
      <c r="D25">
        <v>2340</v>
      </c>
      <c r="E25" t="s">
        <v>480</v>
      </c>
      <c r="F25" t="s">
        <v>478</v>
      </c>
      <c r="G25" t="s">
        <v>571</v>
      </c>
      <c r="H25" t="s">
        <v>572</v>
      </c>
      <c r="I25">
        <v>6</v>
      </c>
      <c r="J25" t="s">
        <v>549</v>
      </c>
      <c r="K25" t="s">
        <v>648</v>
      </c>
      <c r="L25" t="s">
        <v>649</v>
      </c>
      <c r="M25" s="18" t="str">
        <f t="shared" si="0"/>
        <v>022340021FERR2000-05016_2340</v>
      </c>
      <c r="N25" s="18" t="str">
        <f t="shared" si="1"/>
        <v>OCC</v>
      </c>
      <c r="O25" s="18" t="str">
        <f t="shared" si="2"/>
        <v>OCC2340</v>
      </c>
      <c r="P25" s="18" t="str">
        <f t="shared" si="3"/>
        <v>OCC2340Mecânica</v>
      </c>
      <c r="Q25" s="18" t="str">
        <f t="shared" si="4"/>
        <v>OCC2340MecânicaPreservação</v>
      </c>
      <c r="R25" s="19" t="s">
        <v>652</v>
      </c>
      <c r="S25" s="18">
        <f t="shared" si="5"/>
        <v>2</v>
      </c>
      <c r="T25" s="18" t="str">
        <f t="shared" si="6"/>
        <v>EBN.OCC.2340.INM-01-0202</v>
      </c>
      <c r="U25" s="18" t="str">
        <f>IF(AND(J25&lt;&gt;"FIXO",E25="Fornecimento de Equipamento"),"#"&amp;montDes(E25,G25,H25),montDes(E25,G25,H25))</f>
        <v>Preservação - JOGO DE CALÇOS EM FOLHA PLASTICA (8 FOLHAS POR KIT), COMPRIMENTO 305 mm X LARGURA 152 mm, COM A SEGUINTES MEDIDAS (ESPESSURA EM mm) - 0,05, 0,08, 0,1, 0,13, 0,19, 0,25, 0,38 E 0,51 - FERR2000-05016_2340</v>
      </c>
      <c r="V25" t="str">
        <f t="shared" si="7"/>
        <v>FERR2000-05016_2340</v>
      </c>
      <c r="W25" t="str">
        <f t="shared" si="8"/>
        <v>UN/mês</v>
      </c>
      <c r="X25" t="s">
        <v>673</v>
      </c>
      <c r="Y25">
        <f t="shared" si="9"/>
        <v>6</v>
      </c>
      <c r="Z25" s="19" t="s">
        <v>675</v>
      </c>
      <c r="AA25" t="str">
        <f t="shared" si="10"/>
        <v>Preservação - Mecânica</v>
      </c>
      <c r="AB25" t="str">
        <f t="shared" si="11"/>
        <v>62151124</v>
      </c>
      <c r="AC25" t="str">
        <f>_xlfn.XLOOKUP(AA25,referencia!A:A,referencia!B:B,"Error",0,1)</f>
        <v>94002442</v>
      </c>
      <c r="AD25" t="str">
        <f t="shared" si="12"/>
        <v>1,00</v>
      </c>
      <c r="AE25" t="str">
        <f>IF(OR(E25 = "Fornecimento de Equipamento",E25 ="#Fornecimento de Equipamento"),codMateriais(C25,A25,Z25),"")</f>
        <v/>
      </c>
      <c r="AG25" t="str">
        <f t="shared" si="13"/>
        <v/>
      </c>
      <c r="AH25" t="str">
        <f t="shared" si="14"/>
        <v/>
      </c>
      <c r="AI25" t="str">
        <f t="shared" si="15"/>
        <v/>
      </c>
      <c r="AJ25" t="str">
        <f t="shared" si="16"/>
        <v/>
      </c>
      <c r="AK25">
        <f>IF(AND(E25 &lt;&gt; "*Supervisão*", E25 &lt;&gt; "Hookup Elétrico", E25 &lt;&gt; "Hookup Instrumentação", E25 &lt;&gt; "Hookup Tubulação"),VLOOKUP(AC25,referencia!$B$2:$C$29,2,FALSE),"")</f>
        <v>16.887</v>
      </c>
      <c r="AL25" t="str">
        <f t="shared" si="17"/>
        <v>62151124</v>
      </c>
      <c r="AM25">
        <f>IF(AND(E25 &lt;&gt; "*Supervisão*", E25 &lt;&gt; "Hookup Elétrico", E25 &lt;&gt; "Hookup Instrumentação", E25 &lt;&gt; "Hookup Tubulação"),IF(OR(E25 = "Fornecimento de Equipamento",E25 ="#Fornecimento de Equipamento"),AE25,VLOOKUP(AC25,referencia!$B$2:$D$29,3,FALSE)),"")</f>
        <v>23000004</v>
      </c>
      <c r="AN25">
        <f t="shared" si="24"/>
        <v>16.887</v>
      </c>
      <c r="AO25">
        <f>IF($E25 = "Preservação",VLOOKUP(AC25,referencia!$B$1:$G$29,6,FALSE),"")</f>
        <v>7463.61</v>
      </c>
      <c r="AP25" t="str">
        <f t="shared" si="18"/>
        <v>62151124</v>
      </c>
      <c r="AQ25">
        <f>IF($E25 = "Preservação",VLOOKUP(AC25,referencia!$B$1:$F$29,5,FALSE),"")</f>
        <v>23000188</v>
      </c>
      <c r="AR25">
        <f t="shared" si="19"/>
        <v>1.1312890142973709E-4</v>
      </c>
      <c r="AS25">
        <f>VLOOKUP(AC25,referencia!$B$2:$E$29,4,FALSE)</f>
        <v>0.15</v>
      </c>
      <c r="AT25">
        <f t="shared" si="20"/>
        <v>20.264399999999998</v>
      </c>
      <c r="AU25">
        <f t="shared" si="21"/>
        <v>121.5864</v>
      </c>
      <c r="AV25">
        <f t="shared" si="25"/>
        <v>26.73</v>
      </c>
      <c r="AW25">
        <f t="shared" si="22"/>
        <v>160.38</v>
      </c>
      <c r="AX25" t="str">
        <f t="shared" si="23"/>
        <v>Diferente</v>
      </c>
    </row>
    <row r="26" spans="1:50" x14ac:dyDescent="0.25">
      <c r="A26" t="s">
        <v>565</v>
      </c>
      <c r="B26" t="s">
        <v>566</v>
      </c>
      <c r="C26">
        <v>2000</v>
      </c>
      <c r="D26">
        <v>2340</v>
      </c>
      <c r="E26" t="s">
        <v>480</v>
      </c>
      <c r="F26" t="s">
        <v>478</v>
      </c>
      <c r="G26" t="s">
        <v>575</v>
      </c>
      <c r="H26" t="s">
        <v>576</v>
      </c>
      <c r="I26">
        <v>6</v>
      </c>
      <c r="J26" t="s">
        <v>549</v>
      </c>
      <c r="K26" t="s">
        <v>648</v>
      </c>
      <c r="L26" t="s">
        <v>649</v>
      </c>
      <c r="M26" s="18" t="str">
        <f t="shared" si="0"/>
        <v>022340021FERR2000-05023_2340</v>
      </c>
      <c r="N26" s="18" t="str">
        <f t="shared" si="1"/>
        <v>OCC</v>
      </c>
      <c r="O26" s="18" t="str">
        <f t="shared" si="2"/>
        <v>OCC2340</v>
      </c>
      <c r="P26" s="18" t="str">
        <f t="shared" si="3"/>
        <v>OCC2340Mecânica</v>
      </c>
      <c r="Q26" s="18" t="str">
        <f t="shared" si="4"/>
        <v>OCC2340MecânicaPreservação</v>
      </c>
      <c r="R26" s="19" t="s">
        <v>653</v>
      </c>
      <c r="S26" s="18">
        <f t="shared" si="5"/>
        <v>2</v>
      </c>
      <c r="T26" s="18" t="str">
        <f t="shared" si="6"/>
        <v>EBN.OCC.2340.INM-01-0203</v>
      </c>
      <c r="U26" s="18" t="str">
        <f>IF(AND(J26&lt;&gt;"FIXO",E26="Fornecimento de Equipamento"),"#"&amp;montDes(E26,G26,H26),montDes(E26,G26,H26))</f>
        <v>Preservação - SOPRADOR TÉRMICO, 2 KW DE POTÊNCIA, TENSÃO 220 A 240V, 60 Hz, TEMPERATURA MÁXIMA 550ºC; PESO 750 g. COM ACESSÓRIOS INCLUSOS (Bocal 4pcs (bocal refletor, bocal protetor de vidro, bocal cônico, bocal rabo de peixe) – 1 RASPADOR – CABO DE PLASTICO - FERR2000-05023_2340</v>
      </c>
      <c r="V26" t="str">
        <f t="shared" si="7"/>
        <v>FERR2000-05023_2340</v>
      </c>
      <c r="W26" t="str">
        <f t="shared" si="8"/>
        <v>UN/mês</v>
      </c>
      <c r="X26" t="s">
        <v>673</v>
      </c>
      <c r="Y26">
        <f t="shared" si="9"/>
        <v>6</v>
      </c>
      <c r="Z26" s="19" t="s">
        <v>676</v>
      </c>
      <c r="AA26" t="str">
        <f t="shared" si="10"/>
        <v>Preservação - Mecânica</v>
      </c>
      <c r="AB26" t="str">
        <f t="shared" si="11"/>
        <v>62151125</v>
      </c>
      <c r="AC26" t="str">
        <f>_xlfn.XLOOKUP(AA26,referencia!A:A,referencia!B:B,"Error",0,1)</f>
        <v>94002442</v>
      </c>
      <c r="AD26" t="str">
        <f t="shared" si="12"/>
        <v>1,00</v>
      </c>
      <c r="AE26" t="str">
        <f>IF(OR(E26 = "Fornecimento de Equipamento",E26 ="#Fornecimento de Equipamento"),codMateriais(C26,A26,Z26),"")</f>
        <v/>
      </c>
      <c r="AG26" t="str">
        <f t="shared" si="13"/>
        <v/>
      </c>
      <c r="AH26" t="str">
        <f t="shared" si="14"/>
        <v/>
      </c>
      <c r="AI26" t="str">
        <f t="shared" si="15"/>
        <v/>
      </c>
      <c r="AJ26" t="str">
        <f t="shared" si="16"/>
        <v/>
      </c>
      <c r="AK26">
        <f>IF(AND(E26 &lt;&gt; "*Supervisão*", E26 &lt;&gt; "Hookup Elétrico", E26 &lt;&gt; "Hookup Instrumentação", E26 &lt;&gt; "Hookup Tubulação"),VLOOKUP(AC26,referencia!$B$2:$C$29,2,FALSE),"")</f>
        <v>16.887</v>
      </c>
      <c r="AL26" t="str">
        <f t="shared" si="17"/>
        <v>62151125</v>
      </c>
      <c r="AM26">
        <f>IF(AND(E26 &lt;&gt; "*Supervisão*", E26 &lt;&gt; "Hookup Elétrico", E26 &lt;&gt; "Hookup Instrumentação", E26 &lt;&gt; "Hookup Tubulação"),IF(OR(E26 = "Fornecimento de Equipamento",E26 ="#Fornecimento de Equipamento"),AE26,VLOOKUP(AC26,referencia!$B$2:$D$29,3,FALSE)),"")</f>
        <v>23000004</v>
      </c>
      <c r="AN26">
        <f t="shared" si="24"/>
        <v>16.887</v>
      </c>
      <c r="AO26">
        <f>IF($E26 = "Preservação",VLOOKUP(AC26,referencia!$B$1:$G$29,6,FALSE),"")</f>
        <v>7463.61</v>
      </c>
      <c r="AP26" t="str">
        <f t="shared" si="18"/>
        <v>62151125</v>
      </c>
      <c r="AQ26">
        <f>IF($E26 = "Preservação",VLOOKUP(AC26,referencia!$B$1:$F$29,5,FALSE),"")</f>
        <v>23000188</v>
      </c>
      <c r="AR26">
        <f t="shared" si="19"/>
        <v>1.1312890142973709E-4</v>
      </c>
      <c r="AS26">
        <f>VLOOKUP(AC26,referencia!$B$2:$E$29,4,FALSE)</f>
        <v>0.15</v>
      </c>
      <c r="AT26">
        <f t="shared" si="20"/>
        <v>20.264399999999998</v>
      </c>
      <c r="AU26">
        <f t="shared" si="21"/>
        <v>121.5864</v>
      </c>
      <c r="AV26">
        <f t="shared" si="25"/>
        <v>26.73</v>
      </c>
      <c r="AW26">
        <f t="shared" si="22"/>
        <v>160.38</v>
      </c>
      <c r="AX26" t="str">
        <f t="shared" si="23"/>
        <v>Diferente</v>
      </c>
    </row>
    <row r="27" spans="1:50" x14ac:dyDescent="0.25">
      <c r="A27" t="s">
        <v>565</v>
      </c>
      <c r="B27" t="s">
        <v>566</v>
      </c>
      <c r="C27">
        <v>2000</v>
      </c>
      <c r="D27">
        <v>2340</v>
      </c>
      <c r="E27" t="s">
        <v>480</v>
      </c>
      <c r="F27" t="s">
        <v>478</v>
      </c>
      <c r="G27" t="s">
        <v>579</v>
      </c>
      <c r="H27" t="s">
        <v>580</v>
      </c>
      <c r="I27">
        <v>6</v>
      </c>
      <c r="J27" t="s">
        <v>549</v>
      </c>
      <c r="K27" t="s">
        <v>648</v>
      </c>
      <c r="L27" t="s">
        <v>649</v>
      </c>
      <c r="M27" s="18" t="str">
        <f t="shared" si="0"/>
        <v>022340021FERR2000-05024_2340</v>
      </c>
      <c r="N27" s="18" t="str">
        <f t="shared" si="1"/>
        <v>OCC</v>
      </c>
      <c r="O27" s="18" t="str">
        <f t="shared" si="2"/>
        <v>OCC2340</v>
      </c>
      <c r="P27" s="18" t="str">
        <f t="shared" si="3"/>
        <v>OCC2340Mecânica</v>
      </c>
      <c r="Q27" s="18" t="str">
        <f t="shared" si="4"/>
        <v>OCC2340MecânicaPreservação</v>
      </c>
      <c r="R27" s="19" t="s">
        <v>654</v>
      </c>
      <c r="S27" s="18">
        <f t="shared" si="5"/>
        <v>2</v>
      </c>
      <c r="T27" s="18" t="str">
        <f t="shared" si="6"/>
        <v>EBN.OCC.2340.INM-01-0204</v>
      </c>
      <c r="U27" s="18" t="str">
        <f>IF(AND(J27&lt;&gt;"FIXO",E27="Fornecimento de Equipamento"),"#"&amp;montDes(E27,G27,H27),montDes(E27,G27,H27))</f>
        <v>Preservação - Barra de bronze fosforoso, Ø 3/4", comprimnto 330 mm, dureza 120 HB, resistência a tração - 420N/mm², condutibilidade térmica 47W/mK; - FERR2000-05024_2340</v>
      </c>
      <c r="V27" t="str">
        <f t="shared" si="7"/>
        <v>FERR2000-05024_2340</v>
      </c>
      <c r="W27" t="str">
        <f t="shared" si="8"/>
        <v>UN/mês</v>
      </c>
      <c r="X27" t="s">
        <v>673</v>
      </c>
      <c r="Y27">
        <f t="shared" si="9"/>
        <v>6</v>
      </c>
      <c r="Z27" s="19" t="s">
        <v>677</v>
      </c>
      <c r="AA27" t="str">
        <f t="shared" si="10"/>
        <v>Preservação - Mecânica</v>
      </c>
      <c r="AB27" t="str">
        <f t="shared" si="11"/>
        <v>62151126</v>
      </c>
      <c r="AC27" t="str">
        <f>_xlfn.XLOOKUP(AA27,referencia!A:A,referencia!B:B,"Error",0,1)</f>
        <v>94002442</v>
      </c>
      <c r="AD27" t="str">
        <f t="shared" si="12"/>
        <v>1,00</v>
      </c>
      <c r="AE27" t="str">
        <f>IF(OR(E27 = "Fornecimento de Equipamento",E27 ="#Fornecimento de Equipamento"),codMateriais(C27,A27,Z27),"")</f>
        <v/>
      </c>
      <c r="AG27" t="str">
        <f t="shared" si="13"/>
        <v/>
      </c>
      <c r="AH27" t="str">
        <f t="shared" si="14"/>
        <v/>
      </c>
      <c r="AI27" t="str">
        <f t="shared" si="15"/>
        <v/>
      </c>
      <c r="AJ27" t="str">
        <f t="shared" si="16"/>
        <v/>
      </c>
      <c r="AK27">
        <f>IF(AND(E27 &lt;&gt; "*Supervisão*", E27 &lt;&gt; "Hookup Elétrico", E27 &lt;&gt; "Hookup Instrumentação", E27 &lt;&gt; "Hookup Tubulação"),VLOOKUP(AC27,referencia!$B$2:$C$29,2,FALSE),"")</f>
        <v>16.887</v>
      </c>
      <c r="AL27" t="str">
        <f t="shared" si="17"/>
        <v>62151126</v>
      </c>
      <c r="AM27">
        <f>IF(AND(E27 &lt;&gt; "*Supervisão*", E27 &lt;&gt; "Hookup Elétrico", E27 &lt;&gt; "Hookup Instrumentação", E27 &lt;&gt; "Hookup Tubulação"),IF(OR(E27 = "Fornecimento de Equipamento",E27 ="#Fornecimento de Equipamento"),AE27,VLOOKUP(AC27,referencia!$B$2:$D$29,3,FALSE)),"")</f>
        <v>23000004</v>
      </c>
      <c r="AN27">
        <f t="shared" si="24"/>
        <v>16.887</v>
      </c>
      <c r="AO27">
        <f>IF($E27 = "Preservação",VLOOKUP(AC27,referencia!$B$1:$G$29,6,FALSE),"")</f>
        <v>7463.61</v>
      </c>
      <c r="AP27" t="str">
        <f t="shared" si="18"/>
        <v>62151126</v>
      </c>
      <c r="AQ27">
        <f>IF($E27 = "Preservação",VLOOKUP(AC27,referencia!$B$1:$F$29,5,FALSE),"")</f>
        <v>23000188</v>
      </c>
      <c r="AR27">
        <f t="shared" si="19"/>
        <v>1.1312890142973709E-4</v>
      </c>
      <c r="AS27">
        <f>VLOOKUP(AC27,referencia!$B$2:$E$29,4,FALSE)</f>
        <v>0.15</v>
      </c>
      <c r="AT27">
        <f t="shared" si="20"/>
        <v>20.264399999999998</v>
      </c>
      <c r="AU27">
        <f t="shared" si="21"/>
        <v>121.5864</v>
      </c>
      <c r="AV27">
        <f t="shared" si="25"/>
        <v>26.73</v>
      </c>
      <c r="AW27">
        <f t="shared" si="22"/>
        <v>160.38</v>
      </c>
      <c r="AX27" t="str">
        <f t="shared" si="23"/>
        <v>Diferente</v>
      </c>
    </row>
    <row r="28" spans="1:50" x14ac:dyDescent="0.25">
      <c r="A28" t="s">
        <v>565</v>
      </c>
      <c r="B28" t="s">
        <v>566</v>
      </c>
      <c r="C28">
        <v>2000</v>
      </c>
      <c r="D28">
        <v>2340</v>
      </c>
      <c r="E28" t="s">
        <v>480</v>
      </c>
      <c r="F28" t="s">
        <v>478</v>
      </c>
      <c r="G28" t="s">
        <v>583</v>
      </c>
      <c r="H28" t="s">
        <v>584</v>
      </c>
      <c r="I28">
        <v>6</v>
      </c>
      <c r="J28" t="s">
        <v>549</v>
      </c>
      <c r="K28" t="s">
        <v>648</v>
      </c>
      <c r="L28" t="s">
        <v>649</v>
      </c>
      <c r="M28" s="18" t="str">
        <f t="shared" si="0"/>
        <v>022340021FERR2000-05031_2340</v>
      </c>
      <c r="N28" s="18" t="str">
        <f t="shared" si="1"/>
        <v>OCC</v>
      </c>
      <c r="O28" s="18" t="str">
        <f t="shared" si="2"/>
        <v>OCC2340</v>
      </c>
      <c r="P28" s="18" t="str">
        <f t="shared" si="3"/>
        <v>OCC2340Mecânica</v>
      </c>
      <c r="Q28" s="18" t="str">
        <f t="shared" si="4"/>
        <v>OCC2340MecânicaPreservação</v>
      </c>
      <c r="R28" s="19" t="s">
        <v>655</v>
      </c>
      <c r="S28" s="18">
        <f t="shared" si="5"/>
        <v>2</v>
      </c>
      <c r="T28" s="18" t="str">
        <f t="shared" si="6"/>
        <v>EBN.OCC.2340.INM-01-0205</v>
      </c>
      <c r="U28" s="18" t="str">
        <f>IF(AND(J28&lt;&gt;"FIXO",E28="Fornecimento de Equipamento"),"#"&amp;montDes(E28,G28,H28),montDes(E28,G28,H28))</f>
        <v>Preservação - Cabeça para chave dinamométrica - referência FACOM S.372 - quadrado de 1/2". - FERR2000-05031_2340</v>
      </c>
      <c r="V28" t="str">
        <f t="shared" si="7"/>
        <v>FERR2000-05031_2340</v>
      </c>
      <c r="W28" t="str">
        <f t="shared" si="8"/>
        <v>UN/mês</v>
      </c>
      <c r="X28" t="s">
        <v>673</v>
      </c>
      <c r="Y28">
        <f t="shared" si="9"/>
        <v>6</v>
      </c>
      <c r="Z28" s="19" t="s">
        <v>678</v>
      </c>
      <c r="AA28" t="str">
        <f t="shared" si="10"/>
        <v>Preservação - Mecânica</v>
      </c>
      <c r="AB28" t="str">
        <f t="shared" si="11"/>
        <v>62151127</v>
      </c>
      <c r="AC28" t="str">
        <f>_xlfn.XLOOKUP(AA28,referencia!A:A,referencia!B:B,"Error",0,1)</f>
        <v>94002442</v>
      </c>
      <c r="AD28" t="str">
        <f t="shared" si="12"/>
        <v>1,00</v>
      </c>
      <c r="AE28" t="str">
        <f>IF(OR(E28 = "Fornecimento de Equipamento",E28 ="#Fornecimento de Equipamento"),codMateriais(C28,A28,Z28),"")</f>
        <v/>
      </c>
      <c r="AG28" t="str">
        <f t="shared" si="13"/>
        <v/>
      </c>
      <c r="AH28" t="str">
        <f t="shared" si="14"/>
        <v/>
      </c>
      <c r="AI28" t="str">
        <f t="shared" si="15"/>
        <v/>
      </c>
      <c r="AJ28" t="str">
        <f t="shared" si="16"/>
        <v/>
      </c>
      <c r="AK28">
        <f>IF(AND(E28 &lt;&gt; "*Supervisão*", E28 &lt;&gt; "Hookup Elétrico", E28 &lt;&gt; "Hookup Instrumentação", E28 &lt;&gt; "Hookup Tubulação"),VLOOKUP(AC28,referencia!$B$2:$C$29,2,FALSE),"")</f>
        <v>16.887</v>
      </c>
      <c r="AL28" t="str">
        <f t="shared" si="17"/>
        <v>62151127</v>
      </c>
      <c r="AM28">
        <f>IF(AND(E28 &lt;&gt; "*Supervisão*", E28 &lt;&gt; "Hookup Elétrico", E28 &lt;&gt; "Hookup Instrumentação", E28 &lt;&gt; "Hookup Tubulação"),IF(OR(E28 = "Fornecimento de Equipamento",E28 ="#Fornecimento de Equipamento"),AE28,VLOOKUP(AC28,referencia!$B$2:$D$29,3,FALSE)),"")</f>
        <v>23000004</v>
      </c>
      <c r="AN28">
        <f t="shared" si="24"/>
        <v>16.887</v>
      </c>
      <c r="AO28">
        <f>IF($E28 = "Preservação",VLOOKUP(AC28,referencia!$B$1:$G$29,6,FALSE),"")</f>
        <v>7463.61</v>
      </c>
      <c r="AP28" t="str">
        <f t="shared" si="18"/>
        <v>62151127</v>
      </c>
      <c r="AQ28">
        <f>IF($E28 = "Preservação",VLOOKUP(AC28,referencia!$B$1:$F$29,5,FALSE),"")</f>
        <v>23000188</v>
      </c>
      <c r="AR28">
        <f t="shared" si="19"/>
        <v>1.1312890142973709E-4</v>
      </c>
      <c r="AS28">
        <f>VLOOKUP(AC28,referencia!$B$2:$E$29,4,FALSE)</f>
        <v>0.15</v>
      </c>
      <c r="AT28">
        <f t="shared" si="20"/>
        <v>20.264399999999998</v>
      </c>
      <c r="AU28">
        <f t="shared" si="21"/>
        <v>121.5864</v>
      </c>
      <c r="AV28">
        <f t="shared" si="25"/>
        <v>26.73</v>
      </c>
      <c r="AW28">
        <f t="shared" si="22"/>
        <v>160.38</v>
      </c>
      <c r="AX28" t="str">
        <f t="shared" si="23"/>
        <v>Diferente</v>
      </c>
    </row>
    <row r="29" spans="1:50" x14ac:dyDescent="0.25">
      <c r="A29" t="s">
        <v>565</v>
      </c>
      <c r="B29" t="s">
        <v>566</v>
      </c>
      <c r="C29">
        <v>2000</v>
      </c>
      <c r="D29">
        <v>2340</v>
      </c>
      <c r="E29" t="s">
        <v>480</v>
      </c>
      <c r="F29" t="s">
        <v>478</v>
      </c>
      <c r="G29" t="s">
        <v>587</v>
      </c>
      <c r="H29" t="s">
        <v>588</v>
      </c>
      <c r="I29">
        <v>6</v>
      </c>
      <c r="J29" t="s">
        <v>549</v>
      </c>
      <c r="K29" t="s">
        <v>648</v>
      </c>
      <c r="L29" t="s">
        <v>649</v>
      </c>
      <c r="M29" s="18" t="str">
        <f t="shared" si="0"/>
        <v>022340021FERR2000-05032_2340</v>
      </c>
      <c r="N29" s="18" t="str">
        <f t="shared" si="1"/>
        <v>OCC</v>
      </c>
      <c r="O29" s="18" t="str">
        <f t="shared" si="2"/>
        <v>OCC2340</v>
      </c>
      <c r="P29" s="18" t="str">
        <f t="shared" si="3"/>
        <v>OCC2340Mecânica</v>
      </c>
      <c r="Q29" s="18" t="str">
        <f t="shared" si="4"/>
        <v>OCC2340MecânicaPreservação</v>
      </c>
      <c r="R29" s="19" t="s">
        <v>656</v>
      </c>
      <c r="S29" s="18">
        <f t="shared" si="5"/>
        <v>2</v>
      </c>
      <c r="T29" s="18" t="str">
        <f t="shared" si="6"/>
        <v>EBN.OCC.2340.INM-01-0206</v>
      </c>
      <c r="U29" s="18" t="str">
        <f>IF(AND(J29&lt;&gt;"FIXO",E29="Fornecimento de Equipamento"),"#"&amp;montDes(E29,G29,H29),montDes(E29,G29,H29))</f>
        <v>Preservação - Cabeça para chave dinamométrica - referência STAHLWILLE - 14 x 18 mm. - FERR2000-05032_2340</v>
      </c>
      <c r="V29" t="str">
        <f t="shared" si="7"/>
        <v>FERR2000-05032_2340</v>
      </c>
      <c r="W29" t="str">
        <f t="shared" si="8"/>
        <v>UN/mês</v>
      </c>
      <c r="X29" t="s">
        <v>673</v>
      </c>
      <c r="Y29">
        <f t="shared" si="9"/>
        <v>6</v>
      </c>
      <c r="Z29" s="19" t="s">
        <v>679</v>
      </c>
      <c r="AA29" t="str">
        <f t="shared" si="10"/>
        <v>Preservação - Mecânica</v>
      </c>
      <c r="AB29" t="str">
        <f t="shared" si="11"/>
        <v>62151128</v>
      </c>
      <c r="AC29" t="str">
        <f>_xlfn.XLOOKUP(AA29,referencia!A:A,referencia!B:B,"Error",0,1)</f>
        <v>94002442</v>
      </c>
      <c r="AD29" t="str">
        <f t="shared" si="12"/>
        <v>1,00</v>
      </c>
      <c r="AE29" t="str">
        <f>IF(OR(E29 = "Fornecimento de Equipamento",E29 ="#Fornecimento de Equipamento"),codMateriais(C29,A29,Z29),"")</f>
        <v/>
      </c>
      <c r="AG29" t="str">
        <f t="shared" si="13"/>
        <v/>
      </c>
      <c r="AH29" t="str">
        <f t="shared" si="14"/>
        <v/>
      </c>
      <c r="AI29" t="str">
        <f t="shared" si="15"/>
        <v/>
      </c>
      <c r="AJ29" t="str">
        <f t="shared" si="16"/>
        <v/>
      </c>
      <c r="AK29">
        <f>IF(AND(E29 &lt;&gt; "*Supervisão*", E29 &lt;&gt; "Hookup Elétrico", E29 &lt;&gt; "Hookup Instrumentação", E29 &lt;&gt; "Hookup Tubulação"),VLOOKUP(AC29,referencia!$B$2:$C$29,2,FALSE),"")</f>
        <v>16.887</v>
      </c>
      <c r="AL29" t="str">
        <f t="shared" si="17"/>
        <v>62151128</v>
      </c>
      <c r="AM29">
        <f>IF(AND(E29 &lt;&gt; "*Supervisão*", E29 &lt;&gt; "Hookup Elétrico", E29 &lt;&gt; "Hookup Instrumentação", E29 &lt;&gt; "Hookup Tubulação"),IF(OR(E29 = "Fornecimento de Equipamento",E29 ="#Fornecimento de Equipamento"),AE29,VLOOKUP(AC29,referencia!$B$2:$D$29,3,FALSE)),"")</f>
        <v>23000004</v>
      </c>
      <c r="AN29">
        <f t="shared" si="24"/>
        <v>16.887</v>
      </c>
      <c r="AO29">
        <f>IF($E29 = "Preservação",VLOOKUP(AC29,referencia!$B$1:$G$29,6,FALSE),"")</f>
        <v>7463.61</v>
      </c>
      <c r="AP29" t="str">
        <f t="shared" si="18"/>
        <v>62151128</v>
      </c>
      <c r="AQ29">
        <f>IF($E29 = "Preservação",VLOOKUP(AC29,referencia!$B$1:$F$29,5,FALSE),"")</f>
        <v>23000188</v>
      </c>
      <c r="AR29">
        <f t="shared" si="19"/>
        <v>1.1312890142973709E-4</v>
      </c>
      <c r="AS29">
        <f>VLOOKUP(AC29,referencia!$B$2:$E$29,4,FALSE)</f>
        <v>0.15</v>
      </c>
      <c r="AT29">
        <f t="shared" si="20"/>
        <v>20.264399999999998</v>
      </c>
      <c r="AU29">
        <f t="shared" si="21"/>
        <v>121.5864</v>
      </c>
      <c r="AV29">
        <f t="shared" si="25"/>
        <v>26.73</v>
      </c>
      <c r="AW29">
        <f t="shared" si="22"/>
        <v>160.38</v>
      </c>
      <c r="AX29" t="str">
        <f t="shared" si="23"/>
        <v>Diferente</v>
      </c>
    </row>
    <row r="30" spans="1:50" x14ac:dyDescent="0.25">
      <c r="A30" t="s">
        <v>565</v>
      </c>
      <c r="B30" t="s">
        <v>566</v>
      </c>
      <c r="C30">
        <v>2000</v>
      </c>
      <c r="D30">
        <v>2340</v>
      </c>
      <c r="E30" t="s">
        <v>480</v>
      </c>
      <c r="F30" t="s">
        <v>478</v>
      </c>
      <c r="G30" t="s">
        <v>591</v>
      </c>
      <c r="H30" t="s">
        <v>592</v>
      </c>
      <c r="I30">
        <v>6</v>
      </c>
      <c r="J30" t="s">
        <v>549</v>
      </c>
      <c r="K30" t="s">
        <v>648</v>
      </c>
      <c r="L30" t="s">
        <v>649</v>
      </c>
      <c r="M30" s="18" t="str">
        <f t="shared" si="0"/>
        <v>022340021FERR2000-05033_2340</v>
      </c>
      <c r="N30" s="18" t="str">
        <f t="shared" si="1"/>
        <v>OCC</v>
      </c>
      <c r="O30" s="18" t="str">
        <f t="shared" si="2"/>
        <v>OCC2340</v>
      </c>
      <c r="P30" s="18" t="str">
        <f t="shared" si="3"/>
        <v>OCC2340Mecânica</v>
      </c>
      <c r="Q30" s="18" t="str">
        <f t="shared" si="4"/>
        <v>OCC2340MecânicaPreservação</v>
      </c>
      <c r="R30" s="19" t="s">
        <v>657</v>
      </c>
      <c r="S30" s="18">
        <f t="shared" si="5"/>
        <v>2</v>
      </c>
      <c r="T30" s="18" t="str">
        <f t="shared" si="6"/>
        <v>EBN.OCC.2340.INM-01-0207</v>
      </c>
      <c r="U30" s="18" t="str">
        <f>IF(AND(J30&lt;&gt;"FIXO",E30="Fornecimento de Equipamento"),"#"&amp;montDes(E30,G30,H30),montDes(E30,G30,H30))</f>
        <v>Preservação - Chave de fenda unidirecional, torque à direita, Classe II tipo D (manutenção A.400), Saída hexagonal fêmea para uso com bit de 1/4", Unidade ECR 1/4" - 1/4" para tomadas e acessórios opcionais, Encaixe de 1/4" no cabo para uso com cabo de catraca tipo A.3 - FERR2000-05033_2340</v>
      </c>
      <c r="V30" t="str">
        <f t="shared" si="7"/>
        <v>FERR2000-05033_2340</v>
      </c>
      <c r="W30" t="str">
        <f t="shared" si="8"/>
        <v>UN/mês</v>
      </c>
      <c r="X30" t="s">
        <v>673</v>
      </c>
      <c r="Y30">
        <f t="shared" si="9"/>
        <v>6</v>
      </c>
      <c r="Z30" s="19" t="s">
        <v>680</v>
      </c>
      <c r="AA30" t="str">
        <f t="shared" si="10"/>
        <v>Preservação - Mecânica</v>
      </c>
      <c r="AB30" t="str">
        <f t="shared" si="11"/>
        <v>62151129</v>
      </c>
      <c r="AC30" t="str">
        <f>_xlfn.XLOOKUP(AA30,referencia!A:A,referencia!B:B,"Error",0,1)</f>
        <v>94002442</v>
      </c>
      <c r="AD30" t="str">
        <f t="shared" si="12"/>
        <v>1,00</v>
      </c>
      <c r="AE30" t="str">
        <f>IF(OR(E30 = "Fornecimento de Equipamento",E30 ="#Fornecimento de Equipamento"),codMateriais(C30,A30,Z30),"")</f>
        <v/>
      </c>
      <c r="AG30" t="str">
        <f t="shared" si="13"/>
        <v/>
      </c>
      <c r="AH30" t="str">
        <f t="shared" si="14"/>
        <v/>
      </c>
      <c r="AI30" t="str">
        <f t="shared" si="15"/>
        <v/>
      </c>
      <c r="AJ30" t="str">
        <f t="shared" si="16"/>
        <v/>
      </c>
      <c r="AK30">
        <f>IF(AND(E30 &lt;&gt; "*Supervisão*", E30 &lt;&gt; "Hookup Elétrico", E30 &lt;&gt; "Hookup Instrumentação", E30 &lt;&gt; "Hookup Tubulação"),VLOOKUP(AC30,referencia!$B$2:$C$29,2,FALSE),"")</f>
        <v>16.887</v>
      </c>
      <c r="AL30" t="str">
        <f t="shared" si="17"/>
        <v>62151129</v>
      </c>
      <c r="AM30">
        <f>IF(AND(E30 &lt;&gt; "*Supervisão*", E30 &lt;&gt; "Hookup Elétrico", E30 &lt;&gt; "Hookup Instrumentação", E30 &lt;&gt; "Hookup Tubulação"),IF(OR(E30 = "Fornecimento de Equipamento",E30 ="#Fornecimento de Equipamento"),AE30,VLOOKUP(AC30,referencia!$B$2:$D$29,3,FALSE)),"")</f>
        <v>23000004</v>
      </c>
      <c r="AN30">
        <f t="shared" si="24"/>
        <v>16.887</v>
      </c>
      <c r="AO30">
        <f>IF($E30 = "Preservação",VLOOKUP(AC30,referencia!$B$1:$G$29,6,FALSE),"")</f>
        <v>7463.61</v>
      </c>
      <c r="AP30" t="str">
        <f t="shared" si="18"/>
        <v>62151129</v>
      </c>
      <c r="AQ30">
        <f>IF($E30 = "Preservação",VLOOKUP(AC30,referencia!$B$1:$F$29,5,FALSE),"")</f>
        <v>23000188</v>
      </c>
      <c r="AR30">
        <f t="shared" si="19"/>
        <v>1.1312890142973709E-4</v>
      </c>
      <c r="AS30">
        <f>VLOOKUP(AC30,referencia!$B$2:$E$29,4,FALSE)</f>
        <v>0.15</v>
      </c>
      <c r="AT30">
        <f t="shared" si="20"/>
        <v>20.264399999999998</v>
      </c>
      <c r="AU30">
        <f t="shared" si="21"/>
        <v>121.5864</v>
      </c>
      <c r="AV30">
        <f t="shared" si="25"/>
        <v>26.73</v>
      </c>
      <c r="AW30">
        <f t="shared" si="22"/>
        <v>160.38</v>
      </c>
      <c r="AX30" t="str">
        <f t="shared" si="23"/>
        <v>Diferente</v>
      </c>
    </row>
    <row r="31" spans="1:50" x14ac:dyDescent="0.25">
      <c r="A31" t="s">
        <v>565</v>
      </c>
      <c r="B31" t="s">
        <v>566</v>
      </c>
      <c r="C31">
        <v>2000</v>
      </c>
      <c r="D31">
        <v>2340</v>
      </c>
      <c r="E31" t="s">
        <v>480</v>
      </c>
      <c r="F31" t="s">
        <v>478</v>
      </c>
      <c r="G31" t="s">
        <v>591</v>
      </c>
      <c r="H31" t="s">
        <v>595</v>
      </c>
      <c r="I31">
        <v>6</v>
      </c>
      <c r="J31" t="s">
        <v>549</v>
      </c>
      <c r="K31" t="s">
        <v>648</v>
      </c>
      <c r="L31" t="s">
        <v>649</v>
      </c>
      <c r="M31" s="18" t="str">
        <f t="shared" si="0"/>
        <v>022340021FERR2000-05034_2340</v>
      </c>
      <c r="N31" s="18" t="str">
        <f t="shared" si="1"/>
        <v>OCC</v>
      </c>
      <c r="O31" s="18" t="str">
        <f t="shared" si="2"/>
        <v>OCC2340</v>
      </c>
      <c r="P31" s="18" t="str">
        <f t="shared" si="3"/>
        <v>OCC2340Mecânica</v>
      </c>
      <c r="Q31" s="18" t="str">
        <f t="shared" si="4"/>
        <v>OCC2340MecânicaPreservação</v>
      </c>
      <c r="R31" s="19" t="s">
        <v>658</v>
      </c>
      <c r="S31" s="18">
        <f t="shared" si="5"/>
        <v>2</v>
      </c>
      <c r="T31" s="18" t="str">
        <f t="shared" si="6"/>
        <v>EBN.OCC.2340.INM-01-0208</v>
      </c>
      <c r="U31" s="18" t="str">
        <f>IF(AND(J31&lt;&gt;"FIXO",E31="Fornecimento de Equipamento"),"#"&amp;montDes(E31,G31,H31),montDes(E31,G31,H31))</f>
        <v>Preservação - Chave de fenda unidirecional, torque à direita, Classe II tipo D (manutenção A.400), Saída hexagonal fêmea para uso com bit de 1/4", Unidade ECR 1/4" - 1/4" para tomadas e acessórios opcionais, Encaixe de 1/4" no cabo para uso com cabo de catraca tipo A.3 - FERR2000-05034_2340</v>
      </c>
      <c r="V31" t="str">
        <f t="shared" si="7"/>
        <v>FERR2000-05034_2340</v>
      </c>
      <c r="W31" t="str">
        <f t="shared" si="8"/>
        <v>UN/mês</v>
      </c>
      <c r="X31" t="s">
        <v>673</v>
      </c>
      <c r="Y31">
        <f t="shared" si="9"/>
        <v>6</v>
      </c>
      <c r="Z31" s="19" t="s">
        <v>681</v>
      </c>
      <c r="AA31" t="str">
        <f t="shared" si="10"/>
        <v>Preservação - Mecânica</v>
      </c>
      <c r="AB31" t="str">
        <f t="shared" si="11"/>
        <v>62151130</v>
      </c>
      <c r="AC31" t="str">
        <f>_xlfn.XLOOKUP(AA31,referencia!A:A,referencia!B:B,"Error",0,1)</f>
        <v>94002442</v>
      </c>
      <c r="AD31" t="str">
        <f t="shared" si="12"/>
        <v>1,00</v>
      </c>
      <c r="AE31" t="str">
        <f>IF(OR(E31 = "Fornecimento de Equipamento",E31 ="#Fornecimento de Equipamento"),codMateriais(C31,A31,Z31),"")</f>
        <v/>
      </c>
      <c r="AG31" t="str">
        <f t="shared" si="13"/>
        <v/>
      </c>
      <c r="AH31" t="str">
        <f t="shared" si="14"/>
        <v/>
      </c>
      <c r="AI31" t="str">
        <f t="shared" si="15"/>
        <v/>
      </c>
      <c r="AJ31" t="str">
        <f t="shared" si="16"/>
        <v/>
      </c>
      <c r="AK31">
        <f>IF(AND(E31 &lt;&gt; "*Supervisão*", E31 &lt;&gt; "Hookup Elétrico", E31 &lt;&gt; "Hookup Instrumentação", E31 &lt;&gt; "Hookup Tubulação"),VLOOKUP(AC31,referencia!$B$2:$C$29,2,FALSE),"")</f>
        <v>16.887</v>
      </c>
      <c r="AL31" t="str">
        <f t="shared" si="17"/>
        <v>62151130</v>
      </c>
      <c r="AM31">
        <f>IF(AND(E31 &lt;&gt; "*Supervisão*", E31 &lt;&gt; "Hookup Elétrico", E31 &lt;&gt; "Hookup Instrumentação", E31 &lt;&gt; "Hookup Tubulação"),IF(OR(E31 = "Fornecimento de Equipamento",E31 ="#Fornecimento de Equipamento"),AE31,VLOOKUP(AC31,referencia!$B$2:$D$29,3,FALSE)),"")</f>
        <v>23000004</v>
      </c>
      <c r="AN31">
        <f t="shared" si="24"/>
        <v>16.887</v>
      </c>
      <c r="AO31">
        <f>IF($E31 = "Preservação",VLOOKUP(AC31,referencia!$B$1:$G$29,6,FALSE),"")</f>
        <v>7463.61</v>
      </c>
      <c r="AP31" t="str">
        <f t="shared" si="18"/>
        <v>62151130</v>
      </c>
      <c r="AQ31">
        <f>IF($E31 = "Preservação",VLOOKUP(AC31,referencia!$B$1:$F$29,5,FALSE),"")</f>
        <v>23000188</v>
      </c>
      <c r="AR31">
        <f t="shared" si="19"/>
        <v>1.1312890142973709E-4</v>
      </c>
      <c r="AS31">
        <f>VLOOKUP(AC31,referencia!$B$2:$E$29,4,FALSE)</f>
        <v>0.15</v>
      </c>
      <c r="AT31">
        <f t="shared" si="20"/>
        <v>20.264399999999998</v>
      </c>
      <c r="AU31">
        <f t="shared" si="21"/>
        <v>121.5864</v>
      </c>
      <c r="AV31">
        <f t="shared" si="25"/>
        <v>26.73</v>
      </c>
      <c r="AW31">
        <f t="shared" si="22"/>
        <v>160.38</v>
      </c>
      <c r="AX31" t="str">
        <f t="shared" si="23"/>
        <v>Diferente</v>
      </c>
    </row>
    <row r="32" spans="1:50" x14ac:dyDescent="0.25">
      <c r="A32" t="s">
        <v>565</v>
      </c>
      <c r="B32" t="s">
        <v>566</v>
      </c>
      <c r="C32">
        <v>2000</v>
      </c>
      <c r="D32">
        <v>2340</v>
      </c>
      <c r="E32" t="s">
        <v>480</v>
      </c>
      <c r="F32" t="s">
        <v>478</v>
      </c>
      <c r="G32" t="s">
        <v>598</v>
      </c>
      <c r="H32" t="s">
        <v>599</v>
      </c>
      <c r="I32">
        <v>6</v>
      </c>
      <c r="J32" t="s">
        <v>549</v>
      </c>
      <c r="K32" t="s">
        <v>648</v>
      </c>
      <c r="L32" t="s">
        <v>649</v>
      </c>
      <c r="M32" s="18" t="str">
        <f t="shared" si="0"/>
        <v>022340021FERR2000-05035_2340</v>
      </c>
      <c r="N32" s="18" t="str">
        <f t="shared" si="1"/>
        <v>OCC</v>
      </c>
      <c r="O32" s="18" t="str">
        <f t="shared" si="2"/>
        <v>OCC2340</v>
      </c>
      <c r="P32" s="18" t="str">
        <f t="shared" si="3"/>
        <v>OCC2340Mecânica</v>
      </c>
      <c r="Q32" s="18" t="str">
        <f t="shared" si="4"/>
        <v>OCC2340MecânicaPreservação</v>
      </c>
      <c r="R32" s="19" t="s">
        <v>659</v>
      </c>
      <c r="S32" s="18">
        <f t="shared" si="5"/>
        <v>2</v>
      </c>
      <c r="T32" s="18" t="str">
        <f t="shared" si="6"/>
        <v>EBN.OCC.2340.INM-01-0209</v>
      </c>
      <c r="U32" s="18" t="str">
        <f>IF(AND(J32&lt;&gt;"FIXO",E32="Fornecimento de Equipamento"),"#"&amp;montDes(E32,G32,H32),montDes(E32,G32,H32))</f>
        <v>Preservação - Chave de fenda leve e compacta para carga de baixo torque. Torque à direita. - FERR2000-05035_2340</v>
      </c>
      <c r="V32" t="str">
        <f t="shared" si="7"/>
        <v>FERR2000-05035_2340</v>
      </c>
      <c r="W32" t="str">
        <f t="shared" si="8"/>
        <v>UN/mês</v>
      </c>
      <c r="X32" t="s">
        <v>673</v>
      </c>
      <c r="Y32">
        <f t="shared" si="9"/>
        <v>6</v>
      </c>
      <c r="Z32" s="19" t="s">
        <v>682</v>
      </c>
      <c r="AA32" t="str">
        <f t="shared" si="10"/>
        <v>Preservação - Mecânica</v>
      </c>
      <c r="AB32" t="str">
        <f t="shared" si="11"/>
        <v>62151131</v>
      </c>
      <c r="AC32" t="str">
        <f>_xlfn.XLOOKUP(AA32,referencia!A:A,referencia!B:B,"Error",0,1)</f>
        <v>94002442</v>
      </c>
      <c r="AD32" t="str">
        <f t="shared" si="12"/>
        <v>1,00</v>
      </c>
      <c r="AE32" t="str">
        <f>IF(OR(E32 = "Fornecimento de Equipamento",E32 ="#Fornecimento de Equipamento"),codMateriais(C32,A32,Z32),"")</f>
        <v/>
      </c>
      <c r="AG32" t="str">
        <f t="shared" si="13"/>
        <v/>
      </c>
      <c r="AH32" t="str">
        <f t="shared" si="14"/>
        <v/>
      </c>
      <c r="AI32" t="str">
        <f t="shared" si="15"/>
        <v/>
      </c>
      <c r="AJ32" t="str">
        <f t="shared" si="16"/>
        <v/>
      </c>
      <c r="AK32">
        <f>IF(AND(E32 &lt;&gt; "*Supervisão*", E32 &lt;&gt; "Hookup Elétrico", E32 &lt;&gt; "Hookup Instrumentação", E32 &lt;&gt; "Hookup Tubulação"),VLOOKUP(AC32,referencia!$B$2:$C$29,2,FALSE),"")</f>
        <v>16.887</v>
      </c>
      <c r="AL32" t="str">
        <f t="shared" si="17"/>
        <v>62151131</v>
      </c>
      <c r="AM32">
        <f>IF(AND(E32 &lt;&gt; "*Supervisão*", E32 &lt;&gt; "Hookup Elétrico", E32 &lt;&gt; "Hookup Instrumentação", E32 &lt;&gt; "Hookup Tubulação"),IF(OR(E32 = "Fornecimento de Equipamento",E32 ="#Fornecimento de Equipamento"),AE32,VLOOKUP(AC32,referencia!$B$2:$D$29,3,FALSE)),"")</f>
        <v>23000004</v>
      </c>
      <c r="AN32">
        <f t="shared" si="24"/>
        <v>16.887</v>
      </c>
      <c r="AO32">
        <f>IF($E32 = "Preservação",VLOOKUP(AC32,referencia!$B$1:$G$29,6,FALSE),"")</f>
        <v>7463.61</v>
      </c>
      <c r="AP32" t="str">
        <f t="shared" si="18"/>
        <v>62151131</v>
      </c>
      <c r="AQ32">
        <f>IF($E32 = "Preservação",VLOOKUP(AC32,referencia!$B$1:$F$29,5,FALSE),"")</f>
        <v>23000188</v>
      </c>
      <c r="AR32">
        <f t="shared" si="19"/>
        <v>1.1312890142973709E-4</v>
      </c>
      <c r="AS32">
        <f>VLOOKUP(AC32,referencia!$B$2:$E$29,4,FALSE)</f>
        <v>0.15</v>
      </c>
      <c r="AT32">
        <f t="shared" si="20"/>
        <v>20.264399999999998</v>
      </c>
      <c r="AU32">
        <f t="shared" si="21"/>
        <v>121.5864</v>
      </c>
      <c r="AV32">
        <f t="shared" si="25"/>
        <v>26.73</v>
      </c>
      <c r="AW32">
        <f t="shared" si="22"/>
        <v>160.38</v>
      </c>
      <c r="AX32" t="str">
        <f t="shared" si="23"/>
        <v>Diferente</v>
      </c>
    </row>
    <row r="33" spans="1:50" x14ac:dyDescent="0.25">
      <c r="A33" t="s">
        <v>565</v>
      </c>
      <c r="B33" t="s">
        <v>566</v>
      </c>
      <c r="C33">
        <v>2000</v>
      </c>
      <c r="D33">
        <v>2340</v>
      </c>
      <c r="E33" t="s">
        <v>480</v>
      </c>
      <c r="F33" t="s">
        <v>478</v>
      </c>
      <c r="G33" t="s">
        <v>602</v>
      </c>
      <c r="H33" t="s">
        <v>603</v>
      </c>
      <c r="I33">
        <v>6</v>
      </c>
      <c r="J33" t="s">
        <v>549</v>
      </c>
      <c r="K33" t="s">
        <v>648</v>
      </c>
      <c r="L33" t="s">
        <v>649</v>
      </c>
      <c r="M33" s="18" t="str">
        <f t="shared" si="0"/>
        <v>022340021FERR2000-05037_2340</v>
      </c>
      <c r="N33" s="18" t="str">
        <f t="shared" si="1"/>
        <v>OCC</v>
      </c>
      <c r="O33" s="18" t="str">
        <f t="shared" si="2"/>
        <v>OCC2340</v>
      </c>
      <c r="P33" s="18" t="str">
        <f t="shared" si="3"/>
        <v>OCC2340Mecânica</v>
      </c>
      <c r="Q33" s="18" t="str">
        <f t="shared" si="4"/>
        <v>OCC2340MecânicaPreservação</v>
      </c>
      <c r="R33" s="19" t="s">
        <v>660</v>
      </c>
      <c r="S33" s="18">
        <f t="shared" si="5"/>
        <v>2</v>
      </c>
      <c r="T33" s="18" t="str">
        <f t="shared" si="6"/>
        <v>EBN.OCC.2340.INM-01-0210</v>
      </c>
      <c r="U33" s="18" t="str">
        <f>IF(AND(J33&lt;&gt;"FIXO",E33="Fornecimento de Equipamento"),"#"&amp;montDes(E33,G33,H33),montDes(E33,G33,H33))</f>
        <v>Preservação - Jogo de soquetes com bit hexagonal, encaixe 1/4" com as seguintes medidas (5, 6, 7, 8, 10, 12, 14, 17 e 19 mm) - FERR2000-05037_2340</v>
      </c>
      <c r="V33" t="str">
        <f t="shared" si="7"/>
        <v>FERR2000-05037_2340</v>
      </c>
      <c r="W33" t="str">
        <f t="shared" si="8"/>
        <v>UN/mês</v>
      </c>
      <c r="X33" t="s">
        <v>673</v>
      </c>
      <c r="Y33">
        <f t="shared" si="9"/>
        <v>6</v>
      </c>
      <c r="Z33" s="19" t="s">
        <v>683</v>
      </c>
      <c r="AA33" t="str">
        <f t="shared" si="10"/>
        <v>Preservação - Mecânica</v>
      </c>
      <c r="AB33" t="str">
        <f t="shared" si="11"/>
        <v>62151132</v>
      </c>
      <c r="AC33" t="str">
        <f>_xlfn.XLOOKUP(AA33,referencia!A:A,referencia!B:B,"Error",0,1)</f>
        <v>94002442</v>
      </c>
      <c r="AD33" t="str">
        <f t="shared" si="12"/>
        <v>1,00</v>
      </c>
      <c r="AE33" t="str">
        <f>IF(OR(E33 = "Fornecimento de Equipamento",E33 ="#Fornecimento de Equipamento"),codMateriais(C33,A33,Z33),"")</f>
        <v/>
      </c>
      <c r="AG33" t="str">
        <f t="shared" si="13"/>
        <v/>
      </c>
      <c r="AH33" t="str">
        <f t="shared" si="14"/>
        <v/>
      </c>
      <c r="AI33" t="str">
        <f t="shared" si="15"/>
        <v/>
      </c>
      <c r="AJ33" t="str">
        <f t="shared" si="16"/>
        <v/>
      </c>
      <c r="AK33">
        <f>IF(AND(E33 &lt;&gt; "*Supervisão*", E33 &lt;&gt; "Hookup Elétrico", E33 &lt;&gt; "Hookup Instrumentação", E33 &lt;&gt; "Hookup Tubulação"),VLOOKUP(AC33,referencia!$B$2:$C$29,2,FALSE),"")</f>
        <v>16.887</v>
      </c>
      <c r="AL33" t="str">
        <f t="shared" si="17"/>
        <v>62151132</v>
      </c>
      <c r="AM33">
        <f>IF(AND(E33 &lt;&gt; "*Supervisão*", E33 &lt;&gt; "Hookup Elétrico", E33 &lt;&gt; "Hookup Instrumentação", E33 &lt;&gt; "Hookup Tubulação"),IF(OR(E33 = "Fornecimento de Equipamento",E33 ="#Fornecimento de Equipamento"),AE33,VLOOKUP(AC33,referencia!$B$2:$D$29,3,FALSE)),"")</f>
        <v>23000004</v>
      </c>
      <c r="AN33">
        <f t="shared" si="24"/>
        <v>16.887</v>
      </c>
      <c r="AO33">
        <f>IF($E33 = "Preservação",VLOOKUP(AC33,referencia!$B$1:$G$29,6,FALSE),"")</f>
        <v>7463.61</v>
      </c>
      <c r="AP33" t="str">
        <f t="shared" si="18"/>
        <v>62151132</v>
      </c>
      <c r="AQ33">
        <f>IF($E33 = "Preservação",VLOOKUP(AC33,referencia!$B$1:$F$29,5,FALSE),"")</f>
        <v>23000188</v>
      </c>
      <c r="AR33">
        <f t="shared" si="19"/>
        <v>1.1312890142973709E-4</v>
      </c>
      <c r="AS33">
        <f>VLOOKUP(AC33,referencia!$B$2:$E$29,4,FALSE)</f>
        <v>0.15</v>
      </c>
      <c r="AT33">
        <f t="shared" si="20"/>
        <v>20.264399999999998</v>
      </c>
      <c r="AU33">
        <f t="shared" si="21"/>
        <v>121.5864</v>
      </c>
      <c r="AV33">
        <f t="shared" si="25"/>
        <v>26.73</v>
      </c>
      <c r="AW33">
        <f t="shared" si="22"/>
        <v>160.38</v>
      </c>
      <c r="AX33" t="str">
        <f t="shared" si="23"/>
        <v>Diferente</v>
      </c>
    </row>
    <row r="34" spans="1:50" x14ac:dyDescent="0.25">
      <c r="A34" t="s">
        <v>565</v>
      </c>
      <c r="B34" t="s">
        <v>566</v>
      </c>
      <c r="C34">
        <v>2000</v>
      </c>
      <c r="D34">
        <v>2340</v>
      </c>
      <c r="E34" t="s">
        <v>480</v>
      </c>
      <c r="F34" t="s">
        <v>478</v>
      </c>
      <c r="G34" t="s">
        <v>606</v>
      </c>
      <c r="H34" t="s">
        <v>607</v>
      </c>
      <c r="I34">
        <v>6</v>
      </c>
      <c r="J34" t="s">
        <v>549</v>
      </c>
      <c r="K34" t="s">
        <v>648</v>
      </c>
      <c r="L34" t="s">
        <v>649</v>
      </c>
      <c r="M34" s="18" t="str">
        <f t="shared" ref="M34:M65" si="26">Alinhar(E34,D34,F34,H34)</f>
        <v>022340021FERR2000-05038_2340</v>
      </c>
      <c r="N34" s="18" t="str">
        <f t="shared" ref="N34:N65" si="27">Servv(E34)</f>
        <v>OCC</v>
      </c>
      <c r="O34" s="18" t="str">
        <f t="shared" ref="O34:O65" si="28">_xlfn.CONCAT(N34,D34)</f>
        <v>OCC2340</v>
      </c>
      <c r="P34" s="18" t="str">
        <f t="shared" ref="P34:P65" si="29">_xlfn.CONCAT(O34,F34)</f>
        <v>OCC2340Mecânica</v>
      </c>
      <c r="Q34" s="18" t="str">
        <f t="shared" ref="Q34:Q65" si="30">_xlfn.CONCAT(P34,E34)</f>
        <v>OCC2340MecânicaPreservação</v>
      </c>
      <c r="R34" s="19" t="s">
        <v>661</v>
      </c>
      <c r="S34" s="18">
        <f t="shared" ref="S34:S65" si="31">VerificarValor(Q33, Q34, S33)</f>
        <v>2</v>
      </c>
      <c r="T34" s="18" t="str">
        <f t="shared" ref="T34:T65" si="32">EAP(E34,D34,F34,S34,R34)</f>
        <v>EBN.OCC.2340.INM-01-0211</v>
      </c>
      <c r="U34" s="18" t="str">
        <f>IF(AND(J34&lt;&gt;"FIXO",E34="Fornecimento de Equipamento"),"#"&amp;montDes(E34,G34,H34),montDes(E34,G34,H34))</f>
        <v>Preservação - Ponta de chave de fenda, torx T6, encaixe sextavado 1/4", comprimento total 150mm. - FERR2000-05038_2340</v>
      </c>
      <c r="V34" t="str">
        <f t="shared" ref="V34:V65" si="33">H34</f>
        <v>FERR2000-05038_2340</v>
      </c>
      <c r="W34" t="str">
        <f t="shared" ref="W34:W65" si="34">IF(E34 = "Preservação","UN/mês","UN")</f>
        <v>UN/mês</v>
      </c>
      <c r="X34" t="s">
        <v>673</v>
      </c>
      <c r="Y34">
        <f t="shared" ref="Y34:Y65" si="35">I34</f>
        <v>6</v>
      </c>
      <c r="Z34" s="19" t="s">
        <v>684</v>
      </c>
      <c r="AA34" t="str">
        <f t="shared" ref="AA34:AA65" si="36">IF(_xlfn.CONCAT(E34," - ",F34)="Montagem - Mecânica",_xlfn.CONCAT(E34," - ",F34," - ",J34),_xlfn.CONCAT(E34," - ",F34))</f>
        <v>Preservação - Mecânica</v>
      </c>
      <c r="AB34" t="str">
        <f t="shared" ref="AB34:AB65" si="37">codImporta(C34,A34,Z34)</f>
        <v>62151133</v>
      </c>
      <c r="AC34" t="str">
        <f>_xlfn.XLOOKUP(AA34,referencia!A:A,referencia!B:B,"Error",0,1)</f>
        <v>94002442</v>
      </c>
      <c r="AD34" t="str">
        <f t="shared" ref="AD34:AD65" si="38">L34</f>
        <v>1,00</v>
      </c>
      <c r="AE34" t="str">
        <f>IF(OR(E34 = "Fornecimento de Equipamento",E34 ="#Fornecimento de Equipamento"),codMateriais(C34,A34,Z34),"")</f>
        <v/>
      </c>
      <c r="AG34" t="str">
        <f t="shared" ref="AG34:AG65" si="39">IF(OR(E34 = "Fornecimento de Equipamento",E34 ="#Fornecimento de Equipamento"),_xlfn.CONCAT(G34," - ",H34),"")</f>
        <v/>
      </c>
      <c r="AH34" t="str">
        <f t="shared" ref="AH34:AH65" si="40">IF(OR(E34 = "Fornecimento de Equipamento",E34 ="#Fornecimento de Equipamento"),W34,"")</f>
        <v/>
      </c>
      <c r="AI34" t="str">
        <f t="shared" ref="AI34:AI65" si="41">IF(OR(E34 = "Fornecimento de Equipamento",E34 ="#Fornecimento de Equipamento"),K34,"")</f>
        <v/>
      </c>
      <c r="AJ34" t="str">
        <f t="shared" ref="AJ34:AJ65" si="42">IF(OR(E34 = "Fornecimento de Equipamento",E34 ="#Fornecimento de Equipamento"),"R$","")</f>
        <v/>
      </c>
      <c r="AK34">
        <f>IF(AND(E34 &lt;&gt; "*Supervisão*", E34 &lt;&gt; "Hookup Elétrico", E34 &lt;&gt; "Hookup Instrumentação", E34 &lt;&gt; "Hookup Tubulação"),VLOOKUP(AC34,referencia!$B$2:$C$29,2,FALSE),"")</f>
        <v>16.887</v>
      </c>
      <c r="AL34" t="str">
        <f t="shared" ref="AL34:AL65" si="43">IF(AND(E34 &lt;&gt; "*Supervisão*", E34 &lt;&gt; "Hookup Elétrico", E34 &lt;&gt; "Hookup Instrumentação", E34 &lt;&gt; "Hookup Tubulação"), AB34, "")</f>
        <v>62151133</v>
      </c>
      <c r="AM34">
        <f>IF(AND(E34 &lt;&gt; "*Supervisão*", E34 &lt;&gt; "Hookup Elétrico", E34 &lt;&gt; "Hookup Instrumentação", E34 &lt;&gt; "Hookup Tubulação"),IF(OR(E34 = "Fornecimento de Equipamento",E34 ="#Fornecimento de Equipamento"),AE34,VLOOKUP(AC34,referencia!$B$2:$D$29,3,FALSE)),"")</f>
        <v>23000004</v>
      </c>
      <c r="AN34">
        <f t="shared" si="24"/>
        <v>16.887</v>
      </c>
      <c r="AO34">
        <f>IF($E34 = "Preservação",VLOOKUP(AC34,referencia!$B$1:$G$29,6,FALSE),"")</f>
        <v>7463.61</v>
      </c>
      <c r="AP34" t="str">
        <f t="shared" ref="AP34:AP65" si="44">IF($E34 = "Preservação",AL34,"")</f>
        <v>62151133</v>
      </c>
      <c r="AQ34">
        <f>IF($E34 = "Preservação",VLOOKUP(AC34,referencia!$B$1:$F$29,5,FALSE),"")</f>
        <v>23000188</v>
      </c>
      <c r="AR34">
        <f t="shared" ref="AR34:AR65" si="45">IF($E34 = "Preservação",((AK34*AD34)*0.05)/AO34,"")</f>
        <v>1.1312890142973709E-4</v>
      </c>
      <c r="AS34">
        <f>VLOOKUP(AC34,referencia!$B$2:$E$29,4,FALSE)</f>
        <v>0.15</v>
      </c>
      <c r="AT34">
        <f t="shared" ref="AT34:AT65" si="46">IF(OR(E34="Fornecimento de Equipamento",E34="#Fornecimento de Equipamento"),K34+(AK34*AD34),((AD34*AK34)+(AN34*AS34)+(IF(AO34 = "",0,AO34)*IF(AR34 = "",0,AR34))))</f>
        <v>20.264399999999998</v>
      </c>
      <c r="AU34">
        <f t="shared" ref="AU34:AU65" si="47">AT34*I34</f>
        <v>121.5864</v>
      </c>
      <c r="AV34">
        <f t="shared" si="25"/>
        <v>26.73</v>
      </c>
      <c r="AW34">
        <f t="shared" ref="AW34:AW65" si="48">AV34*I34</f>
        <v>160.38</v>
      </c>
      <c r="AX34" t="str">
        <f t="shared" si="23"/>
        <v>Diferente</v>
      </c>
    </row>
    <row r="35" spans="1:50" x14ac:dyDescent="0.25">
      <c r="A35" t="s">
        <v>565</v>
      </c>
      <c r="B35" t="s">
        <v>566</v>
      </c>
      <c r="C35">
        <v>2000</v>
      </c>
      <c r="D35">
        <v>2340</v>
      </c>
      <c r="E35" t="s">
        <v>480</v>
      </c>
      <c r="F35" t="s">
        <v>478</v>
      </c>
      <c r="G35" t="s">
        <v>610</v>
      </c>
      <c r="H35" t="s">
        <v>611</v>
      </c>
      <c r="I35">
        <v>6</v>
      </c>
      <c r="J35" t="s">
        <v>549</v>
      </c>
      <c r="K35" t="s">
        <v>648</v>
      </c>
      <c r="L35" t="s">
        <v>649</v>
      </c>
      <c r="M35" s="18" t="str">
        <f t="shared" si="26"/>
        <v>022340021FERR2000-05039_2340</v>
      </c>
      <c r="N35" s="18" t="str">
        <f t="shared" si="27"/>
        <v>OCC</v>
      </c>
      <c r="O35" s="18" t="str">
        <f t="shared" si="28"/>
        <v>OCC2340</v>
      </c>
      <c r="P35" s="18" t="str">
        <f t="shared" si="29"/>
        <v>OCC2340Mecânica</v>
      </c>
      <c r="Q35" s="18" t="str">
        <f t="shared" si="30"/>
        <v>OCC2340MecânicaPreservação</v>
      </c>
      <c r="R35" s="19" t="s">
        <v>662</v>
      </c>
      <c r="S35" s="18">
        <f t="shared" si="31"/>
        <v>2</v>
      </c>
      <c r="T35" s="18" t="str">
        <f t="shared" si="32"/>
        <v>EBN.OCC.2340.INM-01-0212</v>
      </c>
      <c r="U35" s="18" t="str">
        <f>IF(AND(J35&lt;&gt;"FIXO",E35="Fornecimento de Equipamento"),"#"&amp;montDes(E35,G35,H35),montDes(E35,G35,H35))</f>
        <v>Preservação - Ponta de chave de fenda, torx T8, encaixe sextavado 1/4", comprimento total 150mm - FERR2000-05039_2340</v>
      </c>
      <c r="V35" t="str">
        <f t="shared" si="33"/>
        <v>FERR2000-05039_2340</v>
      </c>
      <c r="W35" t="str">
        <f t="shared" si="34"/>
        <v>UN/mês</v>
      </c>
      <c r="X35" t="s">
        <v>673</v>
      </c>
      <c r="Y35">
        <f t="shared" si="35"/>
        <v>6</v>
      </c>
      <c r="Z35" s="19" t="s">
        <v>685</v>
      </c>
      <c r="AA35" t="str">
        <f t="shared" si="36"/>
        <v>Preservação - Mecânica</v>
      </c>
      <c r="AB35" t="str">
        <f t="shared" si="37"/>
        <v>62151134</v>
      </c>
      <c r="AC35" t="str">
        <f>_xlfn.XLOOKUP(AA35,referencia!A:A,referencia!B:B,"Error",0,1)</f>
        <v>94002442</v>
      </c>
      <c r="AD35" t="str">
        <f t="shared" si="38"/>
        <v>1,00</v>
      </c>
      <c r="AE35" t="str">
        <f>IF(OR(E35 = "Fornecimento de Equipamento",E35 ="#Fornecimento de Equipamento"),codMateriais(C35,A35,Z35),"")</f>
        <v/>
      </c>
      <c r="AG35" t="str">
        <f t="shared" si="39"/>
        <v/>
      </c>
      <c r="AH35" t="str">
        <f t="shared" si="40"/>
        <v/>
      </c>
      <c r="AI35" t="str">
        <f t="shared" si="41"/>
        <v/>
      </c>
      <c r="AJ35" t="str">
        <f t="shared" si="42"/>
        <v/>
      </c>
      <c r="AK35">
        <f>IF(AND(E35 &lt;&gt; "*Supervisão*", E35 &lt;&gt; "Hookup Elétrico", E35 &lt;&gt; "Hookup Instrumentação", E35 &lt;&gt; "Hookup Tubulação"),VLOOKUP(AC35,referencia!$B$2:$C$29,2,FALSE),"")</f>
        <v>16.887</v>
      </c>
      <c r="AL35" t="str">
        <f t="shared" si="43"/>
        <v>62151134</v>
      </c>
      <c r="AM35">
        <f>IF(AND(E35 &lt;&gt; "*Supervisão*", E35 &lt;&gt; "Hookup Elétrico", E35 &lt;&gt; "Hookup Instrumentação", E35 &lt;&gt; "Hookup Tubulação"),IF(OR(E35 = "Fornecimento de Equipamento",E35 ="#Fornecimento de Equipamento"),AE35,VLOOKUP(AC35,referencia!$B$2:$D$29,3,FALSE)),"")</f>
        <v>23000004</v>
      </c>
      <c r="AN35">
        <f t="shared" si="24"/>
        <v>16.887</v>
      </c>
      <c r="AO35">
        <f>IF($E35 = "Preservação",VLOOKUP(AC35,referencia!$B$1:$G$29,6,FALSE),"")</f>
        <v>7463.61</v>
      </c>
      <c r="AP35" t="str">
        <f t="shared" si="44"/>
        <v>62151134</v>
      </c>
      <c r="AQ35">
        <f>IF($E35 = "Preservação",VLOOKUP(AC35,referencia!$B$1:$F$29,5,FALSE),"")</f>
        <v>23000188</v>
      </c>
      <c r="AR35">
        <f t="shared" si="45"/>
        <v>1.1312890142973709E-4</v>
      </c>
      <c r="AS35">
        <f>VLOOKUP(AC35,referencia!$B$2:$E$29,4,FALSE)</f>
        <v>0.15</v>
      </c>
      <c r="AT35">
        <f t="shared" si="46"/>
        <v>20.264399999999998</v>
      </c>
      <c r="AU35">
        <f t="shared" si="47"/>
        <v>121.5864</v>
      </c>
      <c r="AV35">
        <f t="shared" si="25"/>
        <v>26.73</v>
      </c>
      <c r="AW35">
        <f t="shared" si="48"/>
        <v>160.38</v>
      </c>
      <c r="AX35" t="str">
        <f t="shared" si="23"/>
        <v>Diferente</v>
      </c>
    </row>
    <row r="36" spans="1:50" x14ac:dyDescent="0.25">
      <c r="A36" t="s">
        <v>565</v>
      </c>
      <c r="B36" t="s">
        <v>566</v>
      </c>
      <c r="C36">
        <v>2000</v>
      </c>
      <c r="D36">
        <v>2340</v>
      </c>
      <c r="E36" t="s">
        <v>480</v>
      </c>
      <c r="F36" t="s">
        <v>478</v>
      </c>
      <c r="G36" t="s">
        <v>614</v>
      </c>
      <c r="H36" t="s">
        <v>615</v>
      </c>
      <c r="I36">
        <v>6</v>
      </c>
      <c r="J36" t="s">
        <v>549</v>
      </c>
      <c r="K36" t="s">
        <v>648</v>
      </c>
      <c r="L36" t="s">
        <v>649</v>
      </c>
      <c r="M36" s="18" t="str">
        <f t="shared" si="26"/>
        <v>022340021FERR2000-05040_2340</v>
      </c>
      <c r="N36" s="18" t="str">
        <f t="shared" si="27"/>
        <v>OCC</v>
      </c>
      <c r="O36" s="18" t="str">
        <f t="shared" si="28"/>
        <v>OCC2340</v>
      </c>
      <c r="P36" s="18" t="str">
        <f t="shared" si="29"/>
        <v>OCC2340Mecânica</v>
      </c>
      <c r="Q36" s="18" t="str">
        <f t="shared" si="30"/>
        <v>OCC2340MecânicaPreservação</v>
      </c>
      <c r="R36" s="19" t="s">
        <v>663</v>
      </c>
      <c r="S36" s="18">
        <f t="shared" si="31"/>
        <v>2</v>
      </c>
      <c r="T36" s="18" t="str">
        <f t="shared" si="32"/>
        <v>EBN.OCC.2340.INM-01-0213</v>
      </c>
      <c r="U36" s="18" t="str">
        <f>IF(AND(J36&lt;&gt;"FIXO",E36="Fornecimento de Equipamento"),"#"&amp;montDes(E36,G36,H36),montDes(E36,G36,H36))</f>
        <v>Preservação - Ponta de chave de fenda, torx T9, encaixe sextavado 1/4", comprimento total 150mm - FERR2000-05040_2340</v>
      </c>
      <c r="V36" t="str">
        <f t="shared" si="33"/>
        <v>FERR2000-05040_2340</v>
      </c>
      <c r="W36" t="str">
        <f t="shared" si="34"/>
        <v>UN/mês</v>
      </c>
      <c r="X36" t="s">
        <v>673</v>
      </c>
      <c r="Y36">
        <f t="shared" si="35"/>
        <v>6</v>
      </c>
      <c r="Z36" s="19" t="s">
        <v>686</v>
      </c>
      <c r="AA36" t="str">
        <f t="shared" si="36"/>
        <v>Preservação - Mecânica</v>
      </c>
      <c r="AB36" t="str">
        <f t="shared" si="37"/>
        <v>62151135</v>
      </c>
      <c r="AC36" t="str">
        <f>_xlfn.XLOOKUP(AA36,referencia!A:A,referencia!B:B,"Error",0,1)</f>
        <v>94002442</v>
      </c>
      <c r="AD36" t="str">
        <f t="shared" si="38"/>
        <v>1,00</v>
      </c>
      <c r="AE36" t="str">
        <f>IF(OR(E36 = "Fornecimento de Equipamento",E36 ="#Fornecimento de Equipamento"),codMateriais(C36,A36,Z36),"")</f>
        <v/>
      </c>
      <c r="AG36" t="str">
        <f t="shared" si="39"/>
        <v/>
      </c>
      <c r="AH36" t="str">
        <f t="shared" si="40"/>
        <v/>
      </c>
      <c r="AI36" t="str">
        <f t="shared" si="41"/>
        <v/>
      </c>
      <c r="AJ36" t="str">
        <f t="shared" si="42"/>
        <v/>
      </c>
      <c r="AK36">
        <f>IF(AND(E36 &lt;&gt; "*Supervisão*", E36 &lt;&gt; "Hookup Elétrico", E36 &lt;&gt; "Hookup Instrumentação", E36 &lt;&gt; "Hookup Tubulação"),VLOOKUP(AC36,referencia!$B$2:$C$29,2,FALSE),"")</f>
        <v>16.887</v>
      </c>
      <c r="AL36" t="str">
        <f t="shared" si="43"/>
        <v>62151135</v>
      </c>
      <c r="AM36">
        <f>IF(AND(E36 &lt;&gt; "*Supervisão*", E36 &lt;&gt; "Hookup Elétrico", E36 &lt;&gt; "Hookup Instrumentação", E36 &lt;&gt; "Hookup Tubulação"),IF(OR(E36 = "Fornecimento de Equipamento",E36 ="#Fornecimento de Equipamento"),AE36,VLOOKUP(AC36,referencia!$B$2:$D$29,3,FALSE)),"")</f>
        <v>23000004</v>
      </c>
      <c r="AN36">
        <f t="shared" si="24"/>
        <v>16.887</v>
      </c>
      <c r="AO36">
        <f>IF($E36 = "Preservação",VLOOKUP(AC36,referencia!$B$1:$G$29,6,FALSE),"")</f>
        <v>7463.61</v>
      </c>
      <c r="AP36" t="str">
        <f t="shared" si="44"/>
        <v>62151135</v>
      </c>
      <c r="AQ36">
        <f>IF($E36 = "Preservação",VLOOKUP(AC36,referencia!$B$1:$F$29,5,FALSE),"")</f>
        <v>23000188</v>
      </c>
      <c r="AR36">
        <f t="shared" si="45"/>
        <v>1.1312890142973709E-4</v>
      </c>
      <c r="AS36">
        <f>VLOOKUP(AC36,referencia!$B$2:$E$29,4,FALSE)</f>
        <v>0.15</v>
      </c>
      <c r="AT36">
        <f t="shared" si="46"/>
        <v>20.264399999999998</v>
      </c>
      <c r="AU36">
        <f t="shared" si="47"/>
        <v>121.5864</v>
      </c>
      <c r="AV36">
        <f t="shared" si="25"/>
        <v>26.73</v>
      </c>
      <c r="AW36">
        <f t="shared" si="48"/>
        <v>160.38</v>
      </c>
      <c r="AX36" t="str">
        <f t="shared" si="23"/>
        <v>Diferente</v>
      </c>
    </row>
    <row r="37" spans="1:50" x14ac:dyDescent="0.25">
      <c r="A37" t="s">
        <v>565</v>
      </c>
      <c r="B37" t="s">
        <v>566</v>
      </c>
      <c r="C37">
        <v>2000</v>
      </c>
      <c r="D37">
        <v>2340</v>
      </c>
      <c r="E37" t="s">
        <v>480</v>
      </c>
      <c r="F37" t="s">
        <v>478</v>
      </c>
      <c r="G37" t="s">
        <v>616</v>
      </c>
      <c r="H37" t="s">
        <v>617</v>
      </c>
      <c r="I37">
        <v>6</v>
      </c>
      <c r="J37" t="s">
        <v>549</v>
      </c>
      <c r="K37" t="s">
        <v>648</v>
      </c>
      <c r="L37" t="s">
        <v>649</v>
      </c>
      <c r="M37" s="18" t="str">
        <f t="shared" si="26"/>
        <v>022340021FERR2000-05041_2340</v>
      </c>
      <c r="N37" s="18" t="str">
        <f t="shared" si="27"/>
        <v>OCC</v>
      </c>
      <c r="O37" s="18" t="str">
        <f t="shared" si="28"/>
        <v>OCC2340</v>
      </c>
      <c r="P37" s="18" t="str">
        <f t="shared" si="29"/>
        <v>OCC2340Mecânica</v>
      </c>
      <c r="Q37" s="18" t="str">
        <f t="shared" si="30"/>
        <v>OCC2340MecânicaPreservação</v>
      </c>
      <c r="R37" s="19" t="s">
        <v>664</v>
      </c>
      <c r="S37" s="18">
        <f t="shared" si="31"/>
        <v>2</v>
      </c>
      <c r="T37" s="18" t="str">
        <f t="shared" si="32"/>
        <v>EBN.OCC.2340.INM-01-0214</v>
      </c>
      <c r="U37" s="18" t="str">
        <f>IF(AND(J37&lt;&gt;"FIXO",E37="Fornecimento de Equipamento"),"#"&amp;montDes(E37,G37,H37),montDes(E37,G37,H37))</f>
        <v>Preservação - Ponta de chave de fenda, torx T10, encaixe sextavado 1/4", comprimento total 150mm - FERR2000-05041_2340</v>
      </c>
      <c r="V37" t="str">
        <f t="shared" si="33"/>
        <v>FERR2000-05041_2340</v>
      </c>
      <c r="W37" t="str">
        <f t="shared" si="34"/>
        <v>UN/mês</v>
      </c>
      <c r="X37" t="s">
        <v>673</v>
      </c>
      <c r="Y37">
        <f t="shared" si="35"/>
        <v>6</v>
      </c>
      <c r="Z37" s="19" t="s">
        <v>687</v>
      </c>
      <c r="AA37" t="str">
        <f t="shared" si="36"/>
        <v>Preservação - Mecânica</v>
      </c>
      <c r="AB37" t="str">
        <f t="shared" si="37"/>
        <v>62151136</v>
      </c>
      <c r="AC37" t="str">
        <f>_xlfn.XLOOKUP(AA37,referencia!A:A,referencia!B:B,"Error",0,1)</f>
        <v>94002442</v>
      </c>
      <c r="AD37" t="str">
        <f t="shared" si="38"/>
        <v>1,00</v>
      </c>
      <c r="AE37" t="str">
        <f>IF(OR(E37 = "Fornecimento de Equipamento",E37 ="#Fornecimento de Equipamento"),codMateriais(C37,A37,Z37),"")</f>
        <v/>
      </c>
      <c r="AG37" t="str">
        <f t="shared" si="39"/>
        <v/>
      </c>
      <c r="AH37" t="str">
        <f t="shared" si="40"/>
        <v/>
      </c>
      <c r="AI37" t="str">
        <f t="shared" si="41"/>
        <v/>
      </c>
      <c r="AJ37" t="str">
        <f t="shared" si="42"/>
        <v/>
      </c>
      <c r="AK37">
        <f>IF(AND(E37 &lt;&gt; "*Supervisão*", E37 &lt;&gt; "Hookup Elétrico", E37 &lt;&gt; "Hookup Instrumentação", E37 &lt;&gt; "Hookup Tubulação"),VLOOKUP(AC37,referencia!$B$2:$C$29,2,FALSE),"")</f>
        <v>16.887</v>
      </c>
      <c r="AL37" t="str">
        <f t="shared" si="43"/>
        <v>62151136</v>
      </c>
      <c r="AM37">
        <f>IF(AND(E37 &lt;&gt; "*Supervisão*", E37 &lt;&gt; "Hookup Elétrico", E37 &lt;&gt; "Hookup Instrumentação", E37 &lt;&gt; "Hookup Tubulação"),IF(OR(E37 = "Fornecimento de Equipamento",E37 ="#Fornecimento de Equipamento"),AE37,VLOOKUP(AC37,referencia!$B$2:$D$29,3,FALSE)),"")</f>
        <v>23000004</v>
      </c>
      <c r="AN37">
        <f t="shared" si="24"/>
        <v>16.887</v>
      </c>
      <c r="AO37">
        <f>IF($E37 = "Preservação",VLOOKUP(AC37,referencia!$B$1:$G$29,6,FALSE),"")</f>
        <v>7463.61</v>
      </c>
      <c r="AP37" t="str">
        <f t="shared" si="44"/>
        <v>62151136</v>
      </c>
      <c r="AQ37">
        <f>IF($E37 = "Preservação",VLOOKUP(AC37,referencia!$B$1:$F$29,5,FALSE),"")</f>
        <v>23000188</v>
      </c>
      <c r="AR37">
        <f t="shared" si="45"/>
        <v>1.1312890142973709E-4</v>
      </c>
      <c r="AS37">
        <f>VLOOKUP(AC37,referencia!$B$2:$E$29,4,FALSE)</f>
        <v>0.15</v>
      </c>
      <c r="AT37">
        <f t="shared" si="46"/>
        <v>20.264399999999998</v>
      </c>
      <c r="AU37">
        <f t="shared" si="47"/>
        <v>121.5864</v>
      </c>
      <c r="AV37">
        <f t="shared" si="25"/>
        <v>26.73</v>
      </c>
      <c r="AW37">
        <f t="shared" si="48"/>
        <v>160.38</v>
      </c>
      <c r="AX37" t="str">
        <f t="shared" si="23"/>
        <v>Diferente</v>
      </c>
    </row>
    <row r="38" spans="1:50" x14ac:dyDescent="0.25">
      <c r="A38" t="s">
        <v>565</v>
      </c>
      <c r="B38" t="s">
        <v>566</v>
      </c>
      <c r="C38">
        <v>2000</v>
      </c>
      <c r="D38">
        <v>2340</v>
      </c>
      <c r="E38" t="s">
        <v>480</v>
      </c>
      <c r="F38" t="s">
        <v>478</v>
      </c>
      <c r="G38" t="s">
        <v>618</v>
      </c>
      <c r="H38" t="s">
        <v>619</v>
      </c>
      <c r="I38">
        <v>6</v>
      </c>
      <c r="J38" t="s">
        <v>549</v>
      </c>
      <c r="K38" t="s">
        <v>648</v>
      </c>
      <c r="L38" t="s">
        <v>649</v>
      </c>
      <c r="M38" s="18" t="str">
        <f t="shared" si="26"/>
        <v>022340021FERR2000-05042_2340</v>
      </c>
      <c r="N38" s="18" t="str">
        <f t="shared" si="27"/>
        <v>OCC</v>
      </c>
      <c r="O38" s="18" t="str">
        <f t="shared" si="28"/>
        <v>OCC2340</v>
      </c>
      <c r="P38" s="18" t="str">
        <f t="shared" si="29"/>
        <v>OCC2340Mecânica</v>
      </c>
      <c r="Q38" s="18" t="str">
        <f t="shared" si="30"/>
        <v>OCC2340MecânicaPreservação</v>
      </c>
      <c r="R38" s="19" t="s">
        <v>665</v>
      </c>
      <c r="S38" s="18">
        <f t="shared" si="31"/>
        <v>2</v>
      </c>
      <c r="T38" s="18" t="str">
        <f t="shared" si="32"/>
        <v>EBN.OCC.2340.INM-01-0215</v>
      </c>
      <c r="U38" s="18" t="str">
        <f>IF(AND(J38&lt;&gt;"FIXO",E38="Fornecimento de Equipamento"),"#"&amp;montDes(E38,G38,H38),montDes(E38,G38,H38))</f>
        <v>Preservação - Ponta de chave de fenda, torx T20, encaixe sextavado 1/4", comprimento total 150mm - FERR2000-05042_2340</v>
      </c>
      <c r="V38" t="str">
        <f t="shared" si="33"/>
        <v>FERR2000-05042_2340</v>
      </c>
      <c r="W38" t="str">
        <f t="shared" si="34"/>
        <v>UN/mês</v>
      </c>
      <c r="X38" t="s">
        <v>673</v>
      </c>
      <c r="Y38">
        <f t="shared" si="35"/>
        <v>6</v>
      </c>
      <c r="Z38" s="19" t="s">
        <v>688</v>
      </c>
      <c r="AA38" t="str">
        <f t="shared" si="36"/>
        <v>Preservação - Mecânica</v>
      </c>
      <c r="AB38" t="str">
        <f t="shared" si="37"/>
        <v>62151137</v>
      </c>
      <c r="AC38" t="str">
        <f>_xlfn.XLOOKUP(AA38,referencia!A:A,referencia!B:B,"Error",0,1)</f>
        <v>94002442</v>
      </c>
      <c r="AD38" t="str">
        <f t="shared" si="38"/>
        <v>1,00</v>
      </c>
      <c r="AE38" t="str">
        <f>IF(OR(E38 = "Fornecimento de Equipamento",E38 ="#Fornecimento de Equipamento"),codMateriais(C38,A38,Z38),"")</f>
        <v/>
      </c>
      <c r="AG38" t="str">
        <f t="shared" si="39"/>
        <v/>
      </c>
      <c r="AH38" t="str">
        <f t="shared" si="40"/>
        <v/>
      </c>
      <c r="AI38" t="str">
        <f t="shared" si="41"/>
        <v/>
      </c>
      <c r="AJ38" t="str">
        <f t="shared" si="42"/>
        <v/>
      </c>
      <c r="AK38">
        <f>IF(AND(E38 &lt;&gt; "*Supervisão*", E38 &lt;&gt; "Hookup Elétrico", E38 &lt;&gt; "Hookup Instrumentação", E38 &lt;&gt; "Hookup Tubulação"),VLOOKUP(AC38,referencia!$B$2:$C$29,2,FALSE),"")</f>
        <v>16.887</v>
      </c>
      <c r="AL38" t="str">
        <f t="shared" si="43"/>
        <v>62151137</v>
      </c>
      <c r="AM38">
        <f>IF(AND(E38 &lt;&gt; "*Supervisão*", E38 &lt;&gt; "Hookup Elétrico", E38 &lt;&gt; "Hookup Instrumentação", E38 &lt;&gt; "Hookup Tubulação"),IF(OR(E38 = "Fornecimento de Equipamento",E38 ="#Fornecimento de Equipamento"),AE38,VLOOKUP(AC38,referencia!$B$2:$D$29,3,FALSE)),"")</f>
        <v>23000004</v>
      </c>
      <c r="AN38">
        <f t="shared" si="24"/>
        <v>16.887</v>
      </c>
      <c r="AO38">
        <f>IF($E38 = "Preservação",VLOOKUP(AC38,referencia!$B$1:$G$29,6,FALSE),"")</f>
        <v>7463.61</v>
      </c>
      <c r="AP38" t="str">
        <f t="shared" si="44"/>
        <v>62151137</v>
      </c>
      <c r="AQ38">
        <f>IF($E38 = "Preservação",VLOOKUP(AC38,referencia!$B$1:$F$29,5,FALSE),"")</f>
        <v>23000188</v>
      </c>
      <c r="AR38">
        <f t="shared" si="45"/>
        <v>1.1312890142973709E-4</v>
      </c>
      <c r="AS38">
        <f>VLOOKUP(AC38,referencia!$B$2:$E$29,4,FALSE)</f>
        <v>0.15</v>
      </c>
      <c r="AT38">
        <f t="shared" si="46"/>
        <v>20.264399999999998</v>
      </c>
      <c r="AU38">
        <f t="shared" si="47"/>
        <v>121.5864</v>
      </c>
      <c r="AV38">
        <f t="shared" si="25"/>
        <v>26.73</v>
      </c>
      <c r="AW38">
        <f t="shared" si="48"/>
        <v>160.38</v>
      </c>
      <c r="AX38" t="str">
        <f t="shared" si="23"/>
        <v>Diferente</v>
      </c>
    </row>
    <row r="39" spans="1:50" x14ac:dyDescent="0.25">
      <c r="A39" t="s">
        <v>565</v>
      </c>
      <c r="B39" t="s">
        <v>566</v>
      </c>
      <c r="C39">
        <v>2000</v>
      </c>
      <c r="D39">
        <v>2340</v>
      </c>
      <c r="E39" t="s">
        <v>480</v>
      </c>
      <c r="F39" t="s">
        <v>478</v>
      </c>
      <c r="G39" t="s">
        <v>620</v>
      </c>
      <c r="H39" t="s">
        <v>621</v>
      </c>
      <c r="I39">
        <v>6</v>
      </c>
      <c r="J39" t="s">
        <v>549</v>
      </c>
      <c r="K39" t="s">
        <v>648</v>
      </c>
      <c r="L39" t="s">
        <v>649</v>
      </c>
      <c r="M39" s="18" t="str">
        <f t="shared" si="26"/>
        <v>022340021FERR2000-05044_2340</v>
      </c>
      <c r="N39" s="18" t="str">
        <f t="shared" si="27"/>
        <v>OCC</v>
      </c>
      <c r="O39" s="18" t="str">
        <f t="shared" si="28"/>
        <v>OCC2340</v>
      </c>
      <c r="P39" s="18" t="str">
        <f t="shared" si="29"/>
        <v>OCC2340Mecânica</v>
      </c>
      <c r="Q39" s="18" t="str">
        <f t="shared" si="30"/>
        <v>OCC2340MecânicaPreservação</v>
      </c>
      <c r="R39" s="19" t="s">
        <v>666</v>
      </c>
      <c r="S39" s="18">
        <f t="shared" si="31"/>
        <v>2</v>
      </c>
      <c r="T39" s="18" t="str">
        <f t="shared" si="32"/>
        <v>EBN.OCC.2340.INM-01-0216</v>
      </c>
      <c r="U39" s="18" t="str">
        <f>IF(AND(J39&lt;&gt;"FIXO",E39="Fornecimento de Equipamento"),"#"&amp;montDes(E39,G39,H39),montDes(E39,G39,H39))</f>
        <v>Preservação - Estilete de precisão, corpo em alumínio, laminas substituíveis - FERR2000-05044_2340</v>
      </c>
      <c r="V39" t="str">
        <f t="shared" si="33"/>
        <v>FERR2000-05044_2340</v>
      </c>
      <c r="W39" t="str">
        <f t="shared" si="34"/>
        <v>UN/mês</v>
      </c>
      <c r="X39" t="s">
        <v>673</v>
      </c>
      <c r="Y39">
        <f t="shared" si="35"/>
        <v>6</v>
      </c>
      <c r="Z39" s="19" t="s">
        <v>689</v>
      </c>
      <c r="AA39" t="str">
        <f t="shared" si="36"/>
        <v>Preservação - Mecânica</v>
      </c>
      <c r="AB39" t="str">
        <f t="shared" si="37"/>
        <v>62151138</v>
      </c>
      <c r="AC39" t="str">
        <f>_xlfn.XLOOKUP(AA39,referencia!A:A,referencia!B:B,"Error",0,1)</f>
        <v>94002442</v>
      </c>
      <c r="AD39" t="str">
        <f t="shared" si="38"/>
        <v>1,00</v>
      </c>
      <c r="AE39" t="str">
        <f>IF(OR(E39 = "Fornecimento de Equipamento",E39 ="#Fornecimento de Equipamento"),codMateriais(C39,A39,Z39),"")</f>
        <v/>
      </c>
      <c r="AG39" t="str">
        <f t="shared" si="39"/>
        <v/>
      </c>
      <c r="AH39" t="str">
        <f t="shared" si="40"/>
        <v/>
      </c>
      <c r="AI39" t="str">
        <f t="shared" si="41"/>
        <v/>
      </c>
      <c r="AJ39" t="str">
        <f t="shared" si="42"/>
        <v/>
      </c>
      <c r="AK39">
        <f>IF(AND(E39 &lt;&gt; "*Supervisão*", E39 &lt;&gt; "Hookup Elétrico", E39 &lt;&gt; "Hookup Instrumentação", E39 &lt;&gt; "Hookup Tubulação"),VLOOKUP(AC39,referencia!$B$2:$C$29,2,FALSE),"")</f>
        <v>16.887</v>
      </c>
      <c r="AL39" t="str">
        <f t="shared" si="43"/>
        <v>62151138</v>
      </c>
      <c r="AM39">
        <f>IF(AND(E39 &lt;&gt; "*Supervisão*", E39 &lt;&gt; "Hookup Elétrico", E39 &lt;&gt; "Hookup Instrumentação", E39 &lt;&gt; "Hookup Tubulação"),IF(OR(E39 = "Fornecimento de Equipamento",E39 ="#Fornecimento de Equipamento"),AE39,VLOOKUP(AC39,referencia!$B$2:$D$29,3,FALSE)),"")</f>
        <v>23000004</v>
      </c>
      <c r="AN39">
        <f t="shared" si="24"/>
        <v>16.887</v>
      </c>
      <c r="AO39">
        <f>IF($E39 = "Preservação",VLOOKUP(AC39,referencia!$B$1:$G$29,6,FALSE),"")</f>
        <v>7463.61</v>
      </c>
      <c r="AP39" t="str">
        <f t="shared" si="44"/>
        <v>62151138</v>
      </c>
      <c r="AQ39">
        <f>IF($E39 = "Preservação",VLOOKUP(AC39,referencia!$B$1:$F$29,5,FALSE),"")</f>
        <v>23000188</v>
      </c>
      <c r="AR39">
        <f t="shared" si="45"/>
        <v>1.1312890142973709E-4</v>
      </c>
      <c r="AS39">
        <f>VLOOKUP(AC39,referencia!$B$2:$E$29,4,FALSE)</f>
        <v>0.15</v>
      </c>
      <c r="AT39">
        <f t="shared" si="46"/>
        <v>20.264399999999998</v>
      </c>
      <c r="AU39">
        <f t="shared" si="47"/>
        <v>121.5864</v>
      </c>
      <c r="AV39">
        <f t="shared" si="25"/>
        <v>26.73</v>
      </c>
      <c r="AW39">
        <f t="shared" si="48"/>
        <v>160.38</v>
      </c>
      <c r="AX39" t="str">
        <f t="shared" si="23"/>
        <v>Diferente</v>
      </c>
    </row>
    <row r="40" spans="1:50" x14ac:dyDescent="0.25">
      <c r="A40" t="s">
        <v>565</v>
      </c>
      <c r="B40" t="s">
        <v>566</v>
      </c>
      <c r="C40">
        <v>2000</v>
      </c>
      <c r="D40">
        <v>2340</v>
      </c>
      <c r="E40" t="s">
        <v>480</v>
      </c>
      <c r="F40" t="s">
        <v>478</v>
      </c>
      <c r="G40" t="s">
        <v>624</v>
      </c>
      <c r="H40" t="s">
        <v>625</v>
      </c>
      <c r="I40">
        <v>6</v>
      </c>
      <c r="J40" t="s">
        <v>549</v>
      </c>
      <c r="K40" t="s">
        <v>648</v>
      </c>
      <c r="L40" t="s">
        <v>649</v>
      </c>
      <c r="M40" s="18" t="str">
        <f t="shared" si="26"/>
        <v>022340021FERR2000-05045_2340</v>
      </c>
      <c r="N40" s="18" t="str">
        <f t="shared" si="27"/>
        <v>OCC</v>
      </c>
      <c r="O40" s="18" t="str">
        <f t="shared" si="28"/>
        <v>OCC2340</v>
      </c>
      <c r="P40" s="18" t="str">
        <f t="shared" si="29"/>
        <v>OCC2340Mecânica</v>
      </c>
      <c r="Q40" s="18" t="str">
        <f t="shared" si="30"/>
        <v>OCC2340MecânicaPreservação</v>
      </c>
      <c r="R40" s="19" t="s">
        <v>667</v>
      </c>
      <c r="S40" s="18">
        <f t="shared" si="31"/>
        <v>2</v>
      </c>
      <c r="T40" s="18" t="str">
        <f t="shared" si="32"/>
        <v>EBN.OCC.2340.INM-01-0217</v>
      </c>
      <c r="U40" s="18" t="str">
        <f>IF(AND(J40&lt;&gt;"FIXO",E40="Fornecimento de Equipamento"),"#"&amp;montDes(E40,G40,H40),montDes(E40,G40,H40))</f>
        <v>Preservação - Paquímetro de profundidade - 0 - 250 mm, graduação 0,02mm - FERR2000-05045_2340</v>
      </c>
      <c r="V40" t="str">
        <f t="shared" si="33"/>
        <v>FERR2000-05045_2340</v>
      </c>
      <c r="W40" t="str">
        <f t="shared" si="34"/>
        <v>UN/mês</v>
      </c>
      <c r="X40" t="s">
        <v>673</v>
      </c>
      <c r="Y40">
        <f t="shared" si="35"/>
        <v>6</v>
      </c>
      <c r="Z40" s="19" t="s">
        <v>690</v>
      </c>
      <c r="AA40" t="str">
        <f t="shared" si="36"/>
        <v>Preservação - Mecânica</v>
      </c>
      <c r="AB40" t="str">
        <f t="shared" si="37"/>
        <v>62151139</v>
      </c>
      <c r="AC40" t="str">
        <f>_xlfn.XLOOKUP(AA40,referencia!A:A,referencia!B:B,"Error",0,1)</f>
        <v>94002442</v>
      </c>
      <c r="AD40" t="str">
        <f t="shared" si="38"/>
        <v>1,00</v>
      </c>
      <c r="AE40" t="str">
        <f>IF(OR(E40 = "Fornecimento de Equipamento",E40 ="#Fornecimento de Equipamento"),codMateriais(C40,A40,Z40),"")</f>
        <v/>
      </c>
      <c r="AG40" t="str">
        <f t="shared" si="39"/>
        <v/>
      </c>
      <c r="AH40" t="str">
        <f t="shared" si="40"/>
        <v/>
      </c>
      <c r="AI40" t="str">
        <f t="shared" si="41"/>
        <v/>
      </c>
      <c r="AJ40" t="str">
        <f t="shared" si="42"/>
        <v/>
      </c>
      <c r="AK40">
        <f>IF(AND(E40 &lt;&gt; "*Supervisão*", E40 &lt;&gt; "Hookup Elétrico", E40 &lt;&gt; "Hookup Instrumentação", E40 &lt;&gt; "Hookup Tubulação"),VLOOKUP(AC40,referencia!$B$2:$C$29,2,FALSE),"")</f>
        <v>16.887</v>
      </c>
      <c r="AL40" t="str">
        <f t="shared" si="43"/>
        <v>62151139</v>
      </c>
      <c r="AM40">
        <f>IF(AND(E40 &lt;&gt; "*Supervisão*", E40 &lt;&gt; "Hookup Elétrico", E40 &lt;&gt; "Hookup Instrumentação", E40 &lt;&gt; "Hookup Tubulação"),IF(OR(E40 = "Fornecimento de Equipamento",E40 ="#Fornecimento de Equipamento"),AE40,VLOOKUP(AC40,referencia!$B$2:$D$29,3,FALSE)),"")</f>
        <v>23000004</v>
      </c>
      <c r="AN40">
        <f t="shared" si="24"/>
        <v>16.887</v>
      </c>
      <c r="AO40">
        <f>IF($E40 = "Preservação",VLOOKUP(AC40,referencia!$B$1:$G$29,6,FALSE),"")</f>
        <v>7463.61</v>
      </c>
      <c r="AP40" t="str">
        <f t="shared" si="44"/>
        <v>62151139</v>
      </c>
      <c r="AQ40">
        <f>IF($E40 = "Preservação",VLOOKUP(AC40,referencia!$B$1:$F$29,5,FALSE),"")</f>
        <v>23000188</v>
      </c>
      <c r="AR40">
        <f t="shared" si="45"/>
        <v>1.1312890142973709E-4</v>
      </c>
      <c r="AS40">
        <f>VLOOKUP(AC40,referencia!$B$2:$E$29,4,FALSE)</f>
        <v>0.15</v>
      </c>
      <c r="AT40">
        <f t="shared" si="46"/>
        <v>20.264399999999998</v>
      </c>
      <c r="AU40">
        <f t="shared" si="47"/>
        <v>121.5864</v>
      </c>
      <c r="AV40">
        <f t="shared" si="25"/>
        <v>26.73</v>
      </c>
      <c r="AW40">
        <f t="shared" si="48"/>
        <v>160.38</v>
      </c>
      <c r="AX40" t="str">
        <f t="shared" si="23"/>
        <v>Diferente</v>
      </c>
    </row>
    <row r="41" spans="1:50" x14ac:dyDescent="0.25">
      <c r="A41" t="s">
        <v>565</v>
      </c>
      <c r="B41" t="s">
        <v>566</v>
      </c>
      <c r="C41">
        <v>2000</v>
      </c>
      <c r="D41">
        <v>2340</v>
      </c>
      <c r="E41" t="s">
        <v>480</v>
      </c>
      <c r="F41" t="s">
        <v>478</v>
      </c>
      <c r="G41" t="s">
        <v>628</v>
      </c>
      <c r="H41" t="s">
        <v>629</v>
      </c>
      <c r="I41">
        <v>6</v>
      </c>
      <c r="J41" t="s">
        <v>549</v>
      </c>
      <c r="K41" t="s">
        <v>648</v>
      </c>
      <c r="L41" t="s">
        <v>649</v>
      </c>
      <c r="M41" s="18" t="str">
        <f t="shared" si="26"/>
        <v>022340021FERR2000-05046_2340</v>
      </c>
      <c r="N41" s="18" t="str">
        <f t="shared" si="27"/>
        <v>OCC</v>
      </c>
      <c r="O41" s="18" t="str">
        <f t="shared" si="28"/>
        <v>OCC2340</v>
      </c>
      <c r="P41" s="18" t="str">
        <f t="shared" si="29"/>
        <v>OCC2340Mecânica</v>
      </c>
      <c r="Q41" s="18" t="str">
        <f t="shared" si="30"/>
        <v>OCC2340MecânicaPreservação</v>
      </c>
      <c r="R41" s="19" t="s">
        <v>668</v>
      </c>
      <c r="S41" s="18">
        <f t="shared" si="31"/>
        <v>2</v>
      </c>
      <c r="T41" s="18" t="str">
        <f t="shared" si="32"/>
        <v>EBN.OCC.2340.INM-01-0218</v>
      </c>
      <c r="U41" s="18" t="str">
        <f>IF(AND(J41&lt;&gt;"FIXO",E41="Fornecimento de Equipamento"),"#"&amp;montDes(E41,G41,H41),montDes(E41,G41,H41))</f>
        <v>Preservação - Suporte removível para calibradores de profundidade de 400 mm. Erro máximo permitido (± 0,005mm) - FERR2000-05046_2340</v>
      </c>
      <c r="V41" t="str">
        <f t="shared" si="33"/>
        <v>FERR2000-05046_2340</v>
      </c>
      <c r="W41" t="str">
        <f t="shared" si="34"/>
        <v>UN/mês</v>
      </c>
      <c r="X41" t="s">
        <v>673</v>
      </c>
      <c r="Y41">
        <f t="shared" si="35"/>
        <v>6</v>
      </c>
      <c r="Z41" s="19" t="s">
        <v>691</v>
      </c>
      <c r="AA41" t="str">
        <f t="shared" si="36"/>
        <v>Preservação - Mecânica</v>
      </c>
      <c r="AB41" t="str">
        <f t="shared" si="37"/>
        <v>62151140</v>
      </c>
      <c r="AC41" t="str">
        <f>_xlfn.XLOOKUP(AA41,referencia!A:A,referencia!B:B,"Error",0,1)</f>
        <v>94002442</v>
      </c>
      <c r="AD41" t="str">
        <f t="shared" si="38"/>
        <v>1,00</v>
      </c>
      <c r="AE41" t="str">
        <f>IF(OR(E41 = "Fornecimento de Equipamento",E41 ="#Fornecimento de Equipamento"),codMateriais(C41,A41,Z41),"")</f>
        <v/>
      </c>
      <c r="AG41" t="str">
        <f t="shared" si="39"/>
        <v/>
      </c>
      <c r="AH41" t="str">
        <f t="shared" si="40"/>
        <v/>
      </c>
      <c r="AI41" t="str">
        <f t="shared" si="41"/>
        <v/>
      </c>
      <c r="AJ41" t="str">
        <f t="shared" si="42"/>
        <v/>
      </c>
      <c r="AK41">
        <f>IF(AND(E41 &lt;&gt; "*Supervisão*", E41 &lt;&gt; "Hookup Elétrico", E41 &lt;&gt; "Hookup Instrumentação", E41 &lt;&gt; "Hookup Tubulação"),VLOOKUP(AC41,referencia!$B$2:$C$29,2,FALSE),"")</f>
        <v>16.887</v>
      </c>
      <c r="AL41" t="str">
        <f t="shared" si="43"/>
        <v>62151140</v>
      </c>
      <c r="AM41">
        <f>IF(AND(E41 &lt;&gt; "*Supervisão*", E41 &lt;&gt; "Hookup Elétrico", E41 &lt;&gt; "Hookup Instrumentação", E41 &lt;&gt; "Hookup Tubulação"),IF(OR(E41 = "Fornecimento de Equipamento",E41 ="#Fornecimento de Equipamento"),AE41,VLOOKUP(AC41,referencia!$B$2:$D$29,3,FALSE)),"")</f>
        <v>23000004</v>
      </c>
      <c r="AN41">
        <f t="shared" si="24"/>
        <v>16.887</v>
      </c>
      <c r="AO41">
        <f>IF($E41 = "Preservação",VLOOKUP(AC41,referencia!$B$1:$G$29,6,FALSE),"")</f>
        <v>7463.61</v>
      </c>
      <c r="AP41" t="str">
        <f t="shared" si="44"/>
        <v>62151140</v>
      </c>
      <c r="AQ41">
        <f>IF($E41 = "Preservação",VLOOKUP(AC41,referencia!$B$1:$F$29,5,FALSE),"")</f>
        <v>23000188</v>
      </c>
      <c r="AR41">
        <f t="shared" si="45"/>
        <v>1.1312890142973709E-4</v>
      </c>
      <c r="AS41">
        <f>VLOOKUP(AC41,referencia!$B$2:$E$29,4,FALSE)</f>
        <v>0.15</v>
      </c>
      <c r="AT41">
        <f t="shared" si="46"/>
        <v>20.264399999999998</v>
      </c>
      <c r="AU41">
        <f t="shared" si="47"/>
        <v>121.5864</v>
      </c>
      <c r="AV41">
        <f t="shared" si="25"/>
        <v>26.73</v>
      </c>
      <c r="AW41">
        <f t="shared" si="48"/>
        <v>160.38</v>
      </c>
      <c r="AX41" t="str">
        <f t="shared" si="23"/>
        <v>Diferente</v>
      </c>
    </row>
    <row r="42" spans="1:50" x14ac:dyDescent="0.25">
      <c r="A42" t="s">
        <v>565</v>
      </c>
      <c r="B42" t="s">
        <v>566</v>
      </c>
      <c r="C42">
        <v>2000</v>
      </c>
      <c r="D42">
        <v>2340</v>
      </c>
      <c r="E42" t="s">
        <v>480</v>
      </c>
      <c r="F42" t="s">
        <v>478</v>
      </c>
      <c r="G42" t="s">
        <v>632</v>
      </c>
      <c r="H42" t="s">
        <v>633</v>
      </c>
      <c r="I42">
        <v>6</v>
      </c>
      <c r="J42" t="s">
        <v>549</v>
      </c>
      <c r="K42" t="s">
        <v>648</v>
      </c>
      <c r="L42" t="s">
        <v>649</v>
      </c>
      <c r="M42" s="18" t="str">
        <f t="shared" si="26"/>
        <v>022340021FERR2000-05049_2340</v>
      </c>
      <c r="N42" s="18" t="str">
        <f t="shared" si="27"/>
        <v>OCC</v>
      </c>
      <c r="O42" s="18" t="str">
        <f t="shared" si="28"/>
        <v>OCC2340</v>
      </c>
      <c r="P42" s="18" t="str">
        <f t="shared" si="29"/>
        <v>OCC2340Mecânica</v>
      </c>
      <c r="Q42" s="18" t="str">
        <f t="shared" si="30"/>
        <v>OCC2340MecânicaPreservação</v>
      </c>
      <c r="R42" s="19" t="s">
        <v>669</v>
      </c>
      <c r="S42" s="18">
        <f t="shared" si="31"/>
        <v>2</v>
      </c>
      <c r="T42" s="18" t="str">
        <f t="shared" si="32"/>
        <v>EBN.OCC.2340.INM-01-0219</v>
      </c>
      <c r="U42" s="18" t="str">
        <f>IF(AND(J42&lt;&gt;"FIXO",E42="Fornecimento de Equipamento"),"#"&amp;montDes(E42,G42,H42),montDes(E42,G42,H42))</f>
        <v>Preservação - Barra em aço inoxidável, rosca integral, M6 x 175mm - FERR2000-05049_2340</v>
      </c>
      <c r="V42" t="str">
        <f t="shared" si="33"/>
        <v>FERR2000-05049_2340</v>
      </c>
      <c r="W42" t="str">
        <f t="shared" si="34"/>
        <v>UN/mês</v>
      </c>
      <c r="X42" t="s">
        <v>673</v>
      </c>
      <c r="Y42">
        <f t="shared" si="35"/>
        <v>6</v>
      </c>
      <c r="Z42" s="19" t="s">
        <v>692</v>
      </c>
      <c r="AA42" t="str">
        <f t="shared" si="36"/>
        <v>Preservação - Mecânica</v>
      </c>
      <c r="AB42" t="str">
        <f t="shared" si="37"/>
        <v>62151141</v>
      </c>
      <c r="AC42" t="str">
        <f>_xlfn.XLOOKUP(AA42,referencia!A:A,referencia!B:B,"Error",0,1)</f>
        <v>94002442</v>
      </c>
      <c r="AD42" t="str">
        <f t="shared" si="38"/>
        <v>1,00</v>
      </c>
      <c r="AE42" t="str">
        <f>IF(OR(E42 = "Fornecimento de Equipamento",E42 ="#Fornecimento de Equipamento"),codMateriais(C42,A42,Z42),"")</f>
        <v/>
      </c>
      <c r="AG42" t="str">
        <f t="shared" si="39"/>
        <v/>
      </c>
      <c r="AH42" t="str">
        <f t="shared" si="40"/>
        <v/>
      </c>
      <c r="AI42" t="str">
        <f t="shared" si="41"/>
        <v/>
      </c>
      <c r="AJ42" t="str">
        <f t="shared" si="42"/>
        <v/>
      </c>
      <c r="AK42">
        <f>IF(AND(E42 &lt;&gt; "*Supervisão*", E42 &lt;&gt; "Hookup Elétrico", E42 &lt;&gt; "Hookup Instrumentação", E42 &lt;&gt; "Hookup Tubulação"),VLOOKUP(AC42,referencia!$B$2:$C$29,2,FALSE),"")</f>
        <v>16.887</v>
      </c>
      <c r="AL42" t="str">
        <f t="shared" si="43"/>
        <v>62151141</v>
      </c>
      <c r="AM42">
        <f>IF(AND(E42 &lt;&gt; "*Supervisão*", E42 &lt;&gt; "Hookup Elétrico", E42 &lt;&gt; "Hookup Instrumentação", E42 &lt;&gt; "Hookup Tubulação"),IF(OR(E42 = "Fornecimento de Equipamento",E42 ="#Fornecimento de Equipamento"),AE42,VLOOKUP(AC42,referencia!$B$2:$D$29,3,FALSE)),"")</f>
        <v>23000004</v>
      </c>
      <c r="AN42">
        <f t="shared" si="24"/>
        <v>16.887</v>
      </c>
      <c r="AO42">
        <f>IF($E42 = "Preservação",VLOOKUP(AC42,referencia!$B$1:$G$29,6,FALSE),"")</f>
        <v>7463.61</v>
      </c>
      <c r="AP42" t="str">
        <f t="shared" si="44"/>
        <v>62151141</v>
      </c>
      <c r="AQ42">
        <f>IF($E42 = "Preservação",VLOOKUP(AC42,referencia!$B$1:$F$29,5,FALSE),"")</f>
        <v>23000188</v>
      </c>
      <c r="AR42">
        <f t="shared" si="45"/>
        <v>1.1312890142973709E-4</v>
      </c>
      <c r="AS42">
        <f>VLOOKUP(AC42,referencia!$B$2:$E$29,4,FALSE)</f>
        <v>0.15</v>
      </c>
      <c r="AT42">
        <f t="shared" si="46"/>
        <v>20.264399999999998</v>
      </c>
      <c r="AU42">
        <f t="shared" si="47"/>
        <v>121.5864</v>
      </c>
      <c r="AV42">
        <f t="shared" si="25"/>
        <v>26.73</v>
      </c>
      <c r="AW42">
        <f t="shared" si="48"/>
        <v>160.38</v>
      </c>
      <c r="AX42" t="str">
        <f t="shared" si="23"/>
        <v>Diferente</v>
      </c>
    </row>
    <row r="43" spans="1:50" x14ac:dyDescent="0.25">
      <c r="A43" t="s">
        <v>565</v>
      </c>
      <c r="B43" t="s">
        <v>566</v>
      </c>
      <c r="C43">
        <v>2000</v>
      </c>
      <c r="D43">
        <v>2340</v>
      </c>
      <c r="E43" t="s">
        <v>480</v>
      </c>
      <c r="F43" t="s">
        <v>478</v>
      </c>
      <c r="G43" t="s">
        <v>636</v>
      </c>
      <c r="H43" t="s">
        <v>637</v>
      </c>
      <c r="I43">
        <v>6</v>
      </c>
      <c r="J43" t="s">
        <v>549</v>
      </c>
      <c r="K43" t="s">
        <v>648</v>
      </c>
      <c r="L43" t="s">
        <v>649</v>
      </c>
      <c r="M43" s="18" t="str">
        <f t="shared" si="26"/>
        <v>022340021FERR2000-05050_2340</v>
      </c>
      <c r="N43" s="18" t="str">
        <f t="shared" si="27"/>
        <v>OCC</v>
      </c>
      <c r="O43" s="18" t="str">
        <f t="shared" si="28"/>
        <v>OCC2340</v>
      </c>
      <c r="P43" s="18" t="str">
        <f t="shared" si="29"/>
        <v>OCC2340Mecânica</v>
      </c>
      <c r="Q43" s="18" t="str">
        <f t="shared" si="30"/>
        <v>OCC2340MecânicaPreservação</v>
      </c>
      <c r="R43" s="19" t="s">
        <v>670</v>
      </c>
      <c r="S43" s="18">
        <f t="shared" si="31"/>
        <v>2</v>
      </c>
      <c r="T43" s="18" t="str">
        <f t="shared" si="32"/>
        <v>EBN.OCC.2340.INM-01-0220</v>
      </c>
      <c r="U43" s="18" t="str">
        <f>IF(AND(J43&lt;&gt;"FIXO",E43="Fornecimento de Equipamento"),"#"&amp;montDes(E43,G43,H43),montDes(E43,G43,H43))</f>
        <v>Preservação - Barra em aço inoxidável - S-304 Grau A2, rosca integral, M4 x 250mm. - FERR2000-05050_2340</v>
      </c>
      <c r="V43" t="str">
        <f t="shared" si="33"/>
        <v>FERR2000-05050_2340</v>
      </c>
      <c r="W43" t="str">
        <f t="shared" si="34"/>
        <v>UN/mês</v>
      </c>
      <c r="X43" t="s">
        <v>673</v>
      </c>
      <c r="Y43">
        <f t="shared" si="35"/>
        <v>6</v>
      </c>
      <c r="Z43" s="19" t="s">
        <v>693</v>
      </c>
      <c r="AA43" t="str">
        <f t="shared" si="36"/>
        <v>Preservação - Mecânica</v>
      </c>
      <c r="AB43" t="str">
        <f t="shared" si="37"/>
        <v>62151142</v>
      </c>
      <c r="AC43" t="str">
        <f>_xlfn.XLOOKUP(AA43,referencia!A:A,referencia!B:B,"Error",0,1)</f>
        <v>94002442</v>
      </c>
      <c r="AD43" t="str">
        <f t="shared" si="38"/>
        <v>1,00</v>
      </c>
      <c r="AE43" t="str">
        <f>IF(OR(E43 = "Fornecimento de Equipamento",E43 ="#Fornecimento de Equipamento"),codMateriais(C43,A43,Z43),"")</f>
        <v/>
      </c>
      <c r="AG43" t="str">
        <f t="shared" si="39"/>
        <v/>
      </c>
      <c r="AH43" t="str">
        <f t="shared" si="40"/>
        <v/>
      </c>
      <c r="AI43" t="str">
        <f t="shared" si="41"/>
        <v/>
      </c>
      <c r="AJ43" t="str">
        <f t="shared" si="42"/>
        <v/>
      </c>
      <c r="AK43">
        <f>IF(AND(E43 &lt;&gt; "*Supervisão*", E43 &lt;&gt; "Hookup Elétrico", E43 &lt;&gt; "Hookup Instrumentação", E43 &lt;&gt; "Hookup Tubulação"),VLOOKUP(AC43,referencia!$B$2:$C$29,2,FALSE),"")</f>
        <v>16.887</v>
      </c>
      <c r="AL43" t="str">
        <f t="shared" si="43"/>
        <v>62151142</v>
      </c>
      <c r="AM43">
        <f>IF(AND(E43 &lt;&gt; "*Supervisão*", E43 &lt;&gt; "Hookup Elétrico", E43 &lt;&gt; "Hookup Instrumentação", E43 &lt;&gt; "Hookup Tubulação"),IF(OR(E43 = "Fornecimento de Equipamento",E43 ="#Fornecimento de Equipamento"),AE43,VLOOKUP(AC43,referencia!$B$2:$D$29,3,FALSE)),"")</f>
        <v>23000004</v>
      </c>
      <c r="AN43">
        <f t="shared" si="24"/>
        <v>16.887</v>
      </c>
      <c r="AO43">
        <f>IF($E43 = "Preservação",VLOOKUP(AC43,referencia!$B$1:$G$29,6,FALSE),"")</f>
        <v>7463.61</v>
      </c>
      <c r="AP43" t="str">
        <f t="shared" si="44"/>
        <v>62151142</v>
      </c>
      <c r="AQ43">
        <f>IF($E43 = "Preservação",VLOOKUP(AC43,referencia!$B$1:$F$29,5,FALSE),"")</f>
        <v>23000188</v>
      </c>
      <c r="AR43">
        <f t="shared" si="45"/>
        <v>1.1312890142973709E-4</v>
      </c>
      <c r="AS43">
        <f>VLOOKUP(AC43,referencia!$B$2:$E$29,4,FALSE)</f>
        <v>0.15</v>
      </c>
      <c r="AT43">
        <f t="shared" si="46"/>
        <v>20.264399999999998</v>
      </c>
      <c r="AU43">
        <f t="shared" si="47"/>
        <v>121.5864</v>
      </c>
      <c r="AV43">
        <f t="shared" si="25"/>
        <v>26.73</v>
      </c>
      <c r="AW43">
        <f t="shared" si="48"/>
        <v>160.38</v>
      </c>
      <c r="AX43" t="str">
        <f t="shared" si="23"/>
        <v>Diferente</v>
      </c>
    </row>
    <row r="44" spans="1:50" x14ac:dyDescent="0.25">
      <c r="A44" t="s">
        <v>565</v>
      </c>
      <c r="B44" t="s">
        <v>566</v>
      </c>
      <c r="C44">
        <v>2000</v>
      </c>
      <c r="D44">
        <v>2340</v>
      </c>
      <c r="E44" t="s">
        <v>480</v>
      </c>
      <c r="F44" t="s">
        <v>478</v>
      </c>
      <c r="G44" t="s">
        <v>640</v>
      </c>
      <c r="H44" t="s">
        <v>641</v>
      </c>
      <c r="I44">
        <v>6</v>
      </c>
      <c r="J44" t="s">
        <v>549</v>
      </c>
      <c r="K44" t="s">
        <v>648</v>
      </c>
      <c r="L44" t="s">
        <v>649</v>
      </c>
      <c r="M44" s="18" t="str">
        <f t="shared" si="26"/>
        <v>022340021FERR2000-05053_2340</v>
      </c>
      <c r="N44" s="18" t="str">
        <f t="shared" si="27"/>
        <v>OCC</v>
      </c>
      <c r="O44" s="18" t="str">
        <f t="shared" si="28"/>
        <v>OCC2340</v>
      </c>
      <c r="P44" s="18" t="str">
        <f t="shared" si="29"/>
        <v>OCC2340Mecânica</v>
      </c>
      <c r="Q44" s="18" t="str">
        <f t="shared" si="30"/>
        <v>OCC2340MecânicaPreservação</v>
      </c>
      <c r="R44" s="19" t="s">
        <v>671</v>
      </c>
      <c r="S44" s="18">
        <f t="shared" si="31"/>
        <v>2</v>
      </c>
      <c r="T44" s="18" t="str">
        <f t="shared" si="32"/>
        <v>EBN.OCC.2340.INM-01-0221</v>
      </c>
      <c r="U44" s="18" t="str">
        <f>IF(AND(J44&lt;&gt;"FIXO",E44="Fornecimento de Equipamento"),"#"&amp;montDes(E44,G44,H44),montDes(E44,G44,H44))</f>
        <v>Preservação - Jogo de calços de precisão, com 47 peças classe 2. - FERR2000-05053_2340</v>
      </c>
      <c r="V44" t="str">
        <f t="shared" si="33"/>
        <v>FERR2000-05053_2340</v>
      </c>
      <c r="W44" t="str">
        <f t="shared" si="34"/>
        <v>UN/mês</v>
      </c>
      <c r="X44" t="s">
        <v>673</v>
      </c>
      <c r="Y44">
        <f t="shared" si="35"/>
        <v>6</v>
      </c>
      <c r="Z44" s="19" t="s">
        <v>694</v>
      </c>
      <c r="AA44" t="str">
        <f t="shared" si="36"/>
        <v>Preservação - Mecânica</v>
      </c>
      <c r="AB44" t="str">
        <f t="shared" si="37"/>
        <v>62151143</v>
      </c>
      <c r="AC44" t="str">
        <f>_xlfn.XLOOKUP(AA44,referencia!A:A,referencia!B:B,"Error",0,1)</f>
        <v>94002442</v>
      </c>
      <c r="AD44" t="str">
        <f t="shared" si="38"/>
        <v>1,00</v>
      </c>
      <c r="AE44" t="str">
        <f>IF(OR(E44 = "Fornecimento de Equipamento",E44 ="#Fornecimento de Equipamento"),codMateriais(C44,A44,Z44),"")</f>
        <v/>
      </c>
      <c r="AG44" t="str">
        <f t="shared" si="39"/>
        <v/>
      </c>
      <c r="AH44" t="str">
        <f t="shared" si="40"/>
        <v/>
      </c>
      <c r="AI44" t="str">
        <f t="shared" si="41"/>
        <v/>
      </c>
      <c r="AJ44" t="str">
        <f t="shared" si="42"/>
        <v/>
      </c>
      <c r="AK44">
        <f>IF(AND(E44 &lt;&gt; "*Supervisão*", E44 &lt;&gt; "Hookup Elétrico", E44 &lt;&gt; "Hookup Instrumentação", E44 &lt;&gt; "Hookup Tubulação"),VLOOKUP(AC44,referencia!$B$2:$C$29,2,FALSE),"")</f>
        <v>16.887</v>
      </c>
      <c r="AL44" t="str">
        <f t="shared" si="43"/>
        <v>62151143</v>
      </c>
      <c r="AM44">
        <f>IF(AND(E44 &lt;&gt; "*Supervisão*", E44 &lt;&gt; "Hookup Elétrico", E44 &lt;&gt; "Hookup Instrumentação", E44 &lt;&gt; "Hookup Tubulação"),IF(OR(E44 = "Fornecimento de Equipamento",E44 ="#Fornecimento de Equipamento"),AE44,VLOOKUP(AC44,referencia!$B$2:$D$29,3,FALSE)),"")</f>
        <v>23000004</v>
      </c>
      <c r="AN44">
        <f t="shared" si="24"/>
        <v>16.887</v>
      </c>
      <c r="AO44">
        <f>IF($E44 = "Preservação",VLOOKUP(AC44,referencia!$B$1:$G$29,6,FALSE),"")</f>
        <v>7463.61</v>
      </c>
      <c r="AP44" t="str">
        <f t="shared" si="44"/>
        <v>62151143</v>
      </c>
      <c r="AQ44">
        <f>IF($E44 = "Preservação",VLOOKUP(AC44,referencia!$B$1:$F$29,5,FALSE),"")</f>
        <v>23000188</v>
      </c>
      <c r="AR44">
        <f t="shared" si="45"/>
        <v>1.1312890142973709E-4</v>
      </c>
      <c r="AS44">
        <f>VLOOKUP(AC44,referencia!$B$2:$E$29,4,FALSE)</f>
        <v>0.15</v>
      </c>
      <c r="AT44">
        <f t="shared" si="46"/>
        <v>20.264399999999998</v>
      </c>
      <c r="AU44">
        <f t="shared" si="47"/>
        <v>121.5864</v>
      </c>
      <c r="AV44">
        <f t="shared" si="25"/>
        <v>26.73</v>
      </c>
      <c r="AW44">
        <f t="shared" si="48"/>
        <v>160.38</v>
      </c>
      <c r="AX44" t="str">
        <f t="shared" si="23"/>
        <v>Diferente</v>
      </c>
    </row>
    <row r="45" spans="1:50" x14ac:dyDescent="0.25">
      <c r="A45" t="s">
        <v>565</v>
      </c>
      <c r="B45" t="s">
        <v>566</v>
      </c>
      <c r="C45">
        <v>2000</v>
      </c>
      <c r="D45">
        <v>2340</v>
      </c>
      <c r="E45" t="s">
        <v>480</v>
      </c>
      <c r="F45" t="s">
        <v>478</v>
      </c>
      <c r="G45" t="s">
        <v>644</v>
      </c>
      <c r="H45" t="s">
        <v>645</v>
      </c>
      <c r="I45">
        <v>6</v>
      </c>
      <c r="J45" t="s">
        <v>549</v>
      </c>
      <c r="K45" t="s">
        <v>648</v>
      </c>
      <c r="L45" t="s">
        <v>649</v>
      </c>
      <c r="M45" s="18" t="str">
        <f t="shared" si="26"/>
        <v>022340021FERR2000-05054_2340</v>
      </c>
      <c r="N45" s="18" t="str">
        <f t="shared" si="27"/>
        <v>OCC</v>
      </c>
      <c r="O45" s="18" t="str">
        <f t="shared" si="28"/>
        <v>OCC2340</v>
      </c>
      <c r="P45" s="18" t="str">
        <f t="shared" si="29"/>
        <v>OCC2340Mecânica</v>
      </c>
      <c r="Q45" s="18" t="str">
        <f t="shared" si="30"/>
        <v>OCC2340MecânicaPreservação</v>
      </c>
      <c r="R45" s="19" t="s">
        <v>672</v>
      </c>
      <c r="S45" s="18">
        <f t="shared" si="31"/>
        <v>2</v>
      </c>
      <c r="T45" s="18" t="str">
        <f t="shared" si="32"/>
        <v>EBN.OCC.2340.INM-01-0222</v>
      </c>
      <c r="U45" s="18" t="str">
        <f>IF(AND(J45&lt;&gt;"FIXO",E45="Fornecimento de Equipamento"),"#"&amp;montDes(E45,G45,H45),montDes(E45,G45,H45))</f>
        <v>Preservação - Haste de aço, Ø 20 mm x 1600 mm - FERR2000-05054_2340</v>
      </c>
      <c r="V45" t="str">
        <f t="shared" si="33"/>
        <v>FERR2000-05054_2340</v>
      </c>
      <c r="W45" t="str">
        <f t="shared" si="34"/>
        <v>UN/mês</v>
      </c>
      <c r="X45" t="s">
        <v>673</v>
      </c>
      <c r="Y45">
        <f t="shared" si="35"/>
        <v>6</v>
      </c>
      <c r="Z45" s="19" t="s">
        <v>695</v>
      </c>
      <c r="AA45" t="str">
        <f t="shared" si="36"/>
        <v>Preservação - Mecânica</v>
      </c>
      <c r="AB45" t="str">
        <f t="shared" si="37"/>
        <v>62151144</v>
      </c>
      <c r="AC45" t="str">
        <f>_xlfn.XLOOKUP(AA45,referencia!A:A,referencia!B:B,"Error",0,1)</f>
        <v>94002442</v>
      </c>
      <c r="AD45" t="str">
        <f t="shared" si="38"/>
        <v>1,00</v>
      </c>
      <c r="AE45" t="str">
        <f>IF(OR(E45 = "Fornecimento de Equipamento",E45 ="#Fornecimento de Equipamento"),codMateriais(C45,A45,Z45),"")</f>
        <v/>
      </c>
      <c r="AG45" t="str">
        <f t="shared" si="39"/>
        <v/>
      </c>
      <c r="AH45" t="str">
        <f t="shared" si="40"/>
        <v/>
      </c>
      <c r="AI45" t="str">
        <f t="shared" si="41"/>
        <v/>
      </c>
      <c r="AJ45" t="str">
        <f t="shared" si="42"/>
        <v/>
      </c>
      <c r="AK45">
        <f>IF(AND(E45 &lt;&gt; "*Supervisão*", E45 &lt;&gt; "Hookup Elétrico", E45 &lt;&gt; "Hookup Instrumentação", E45 &lt;&gt; "Hookup Tubulação"),VLOOKUP(AC45,referencia!$B$2:$C$29,2,FALSE),"")</f>
        <v>16.887</v>
      </c>
      <c r="AL45" t="str">
        <f t="shared" si="43"/>
        <v>62151144</v>
      </c>
      <c r="AM45">
        <f>IF(AND(E45 &lt;&gt; "*Supervisão*", E45 &lt;&gt; "Hookup Elétrico", E45 &lt;&gt; "Hookup Instrumentação", E45 &lt;&gt; "Hookup Tubulação"),IF(OR(E45 = "Fornecimento de Equipamento",E45 ="#Fornecimento de Equipamento"),AE45,VLOOKUP(AC45,referencia!$B$2:$D$29,3,FALSE)),"")</f>
        <v>23000004</v>
      </c>
      <c r="AN45">
        <f t="shared" si="24"/>
        <v>16.887</v>
      </c>
      <c r="AO45">
        <f>IF($E45 = "Preservação",VLOOKUP(AC45,referencia!$B$1:$G$29,6,FALSE),"")</f>
        <v>7463.61</v>
      </c>
      <c r="AP45" t="str">
        <f t="shared" si="44"/>
        <v>62151144</v>
      </c>
      <c r="AQ45">
        <f>IF($E45 = "Preservação",VLOOKUP(AC45,referencia!$B$1:$F$29,5,FALSE),"")</f>
        <v>23000188</v>
      </c>
      <c r="AR45">
        <f t="shared" si="45"/>
        <v>1.1312890142973709E-4</v>
      </c>
      <c r="AS45">
        <f>VLOOKUP(AC45,referencia!$B$2:$E$29,4,FALSE)</f>
        <v>0.15</v>
      </c>
      <c r="AT45">
        <f t="shared" si="46"/>
        <v>20.264399999999998</v>
      </c>
      <c r="AU45">
        <f t="shared" si="47"/>
        <v>121.5864</v>
      </c>
      <c r="AV45">
        <f t="shared" si="25"/>
        <v>26.73</v>
      </c>
      <c r="AW45">
        <f t="shared" si="48"/>
        <v>160.38</v>
      </c>
      <c r="AX45" t="str">
        <f t="shared" si="23"/>
        <v>Diferente</v>
      </c>
    </row>
    <row r="46" spans="1:50" x14ac:dyDescent="0.25">
      <c r="A46" t="s">
        <v>565</v>
      </c>
      <c r="B46" t="s">
        <v>566</v>
      </c>
      <c r="C46">
        <v>2000</v>
      </c>
      <c r="D46">
        <v>2340</v>
      </c>
      <c r="E46" t="s">
        <v>543</v>
      </c>
      <c r="F46" t="s">
        <v>478</v>
      </c>
      <c r="G46" t="s">
        <v>567</v>
      </c>
      <c r="H46" t="s">
        <v>568</v>
      </c>
      <c r="I46">
        <v>1</v>
      </c>
      <c r="J46" t="s">
        <v>549</v>
      </c>
      <c r="K46" t="s">
        <v>648</v>
      </c>
      <c r="L46" t="s">
        <v>650</v>
      </c>
      <c r="M46" s="18" t="str">
        <f t="shared" si="26"/>
        <v>022340031FERR2000-05002_2340</v>
      </c>
      <c r="N46" s="18" t="str">
        <f t="shared" si="27"/>
        <v>OCC</v>
      </c>
      <c r="O46" s="18" t="str">
        <f t="shared" si="28"/>
        <v>OCC2340</v>
      </c>
      <c r="P46" s="18" t="str">
        <f t="shared" si="29"/>
        <v>OCC2340Mecânica</v>
      </c>
      <c r="Q46" s="18" t="str">
        <f t="shared" si="30"/>
        <v>OCC2340MecânicaAcondicionamento</v>
      </c>
      <c r="R46" s="19" t="s">
        <v>651</v>
      </c>
      <c r="S46" s="18">
        <f t="shared" si="31"/>
        <v>3</v>
      </c>
      <c r="T46" s="18" t="str">
        <f t="shared" si="32"/>
        <v>EBN.OCC.2340.INM-01-0301</v>
      </c>
      <c r="U46" s="18" t="str">
        <f>IF(AND(J46&lt;&gt;"FIXO",E46="Fornecimento de Equipamento"),"#"&amp;montDes(E46,G46,H46),montDes(E46,G46,H46))</f>
        <v>Acondicionamento - CARRO PORTA FERRAMENTAS; 4 MÓDULOS POR GAVETA; CAPACIDADE TOTAL DE CARGA DE 175 A 210 kg EM GAVETAS, DIMENSÕES DA BANCADA - 797 X 461; EQUIPADO COM 4 RODÍZIOS DE 125 mm, SENDO 2 GIRATÓRIOS (1 COM FREIO) E 2 FIXOS. DIMENSÕES DO CARRO - (L x P x A) - 1004 x - FERR2000-05002_2340</v>
      </c>
      <c r="V46" t="str">
        <f t="shared" si="33"/>
        <v>FERR2000-05002_2340</v>
      </c>
      <c r="W46" t="str">
        <f t="shared" si="34"/>
        <v>UN</v>
      </c>
      <c r="X46" t="s">
        <v>673</v>
      </c>
      <c r="Y46">
        <f t="shared" si="35"/>
        <v>1</v>
      </c>
      <c r="Z46" s="19" t="s">
        <v>696</v>
      </c>
      <c r="AA46" t="str">
        <f t="shared" si="36"/>
        <v>Acondicionamento - Mecânica</v>
      </c>
      <c r="AB46" t="str">
        <f t="shared" si="37"/>
        <v>62151145</v>
      </c>
      <c r="AC46" t="str">
        <f>_xlfn.XLOOKUP(AA46,referencia!A:A,referencia!B:B,"Error",0,1)</f>
        <v>94002445</v>
      </c>
      <c r="AD46" t="str">
        <f t="shared" si="38"/>
        <v>2,00</v>
      </c>
      <c r="AE46" t="str">
        <f>IF(OR(E46 = "Fornecimento de Equipamento",E46 ="#Fornecimento de Equipamento"),codMateriais(C46,A46,Z46),"")</f>
        <v/>
      </c>
      <c r="AG46" t="str">
        <f t="shared" si="39"/>
        <v/>
      </c>
      <c r="AH46" t="str">
        <f t="shared" si="40"/>
        <v/>
      </c>
      <c r="AI46" t="str">
        <f t="shared" si="41"/>
        <v/>
      </c>
      <c r="AJ46" t="str">
        <f t="shared" si="42"/>
        <v/>
      </c>
      <c r="AK46">
        <f>IF(AND(E46 &lt;&gt; "*Supervisão*", E46 &lt;&gt; "Hookup Elétrico", E46 &lt;&gt; "Hookup Instrumentação", E46 &lt;&gt; "Hookup Tubulação"),VLOOKUP(AC46,referencia!$B$2:$C$29,2,FALSE),"")</f>
        <v>16.887</v>
      </c>
      <c r="AL46" t="str">
        <f t="shared" si="43"/>
        <v>62151145</v>
      </c>
      <c r="AM46">
        <f>IF(AND(E46 &lt;&gt; "*Supervisão*", E46 &lt;&gt; "Hookup Elétrico", E46 &lt;&gt; "Hookup Instrumentação", E46 &lt;&gt; "Hookup Tubulação"),IF(OR(E46 = "Fornecimento de Equipamento",E46 ="#Fornecimento de Equipamento"),AE46,VLOOKUP(AC46,referencia!$B$2:$D$29,3,FALSE)),"")</f>
        <v>23000007</v>
      </c>
      <c r="AN46">
        <f t="shared" si="24"/>
        <v>33.774000000000001</v>
      </c>
      <c r="AO46" t="str">
        <f>IF($E46 = "Preservação",VLOOKUP(AC46,referencia!$B$1:$G$29,6,FALSE),"")</f>
        <v/>
      </c>
      <c r="AP46" t="str">
        <f t="shared" si="44"/>
        <v/>
      </c>
      <c r="AQ46" t="str">
        <f>IF($E46 = "Preservação",VLOOKUP(AC46,referencia!$B$1:$F$29,5,FALSE),"")</f>
        <v/>
      </c>
      <c r="AR46" t="str">
        <f t="shared" si="45"/>
        <v/>
      </c>
      <c r="AS46">
        <f>VLOOKUP(AC46,referencia!$B$2:$E$29,4,FALSE)</f>
        <v>0.08</v>
      </c>
      <c r="AT46">
        <f t="shared" si="46"/>
        <v>36.475920000000002</v>
      </c>
      <c r="AU46">
        <f t="shared" si="47"/>
        <v>36.475920000000002</v>
      </c>
      <c r="AV46">
        <f t="shared" si="25"/>
        <v>48.12</v>
      </c>
      <c r="AW46">
        <f t="shared" si="48"/>
        <v>48.12</v>
      </c>
      <c r="AX46" t="str">
        <f t="shared" si="23"/>
        <v>Diferente</v>
      </c>
    </row>
    <row r="47" spans="1:50" x14ac:dyDescent="0.25">
      <c r="A47" t="s">
        <v>565</v>
      </c>
      <c r="B47" t="s">
        <v>566</v>
      </c>
      <c r="C47">
        <v>2000</v>
      </c>
      <c r="D47">
        <v>2340</v>
      </c>
      <c r="E47" t="s">
        <v>543</v>
      </c>
      <c r="F47" t="s">
        <v>478</v>
      </c>
      <c r="G47" t="s">
        <v>571</v>
      </c>
      <c r="H47" t="s">
        <v>572</v>
      </c>
      <c r="I47">
        <v>8</v>
      </c>
      <c r="J47" t="s">
        <v>549</v>
      </c>
      <c r="K47" t="s">
        <v>648</v>
      </c>
      <c r="L47" t="s">
        <v>650</v>
      </c>
      <c r="M47" s="18" t="str">
        <f t="shared" si="26"/>
        <v>022340031FERR2000-05016_2340</v>
      </c>
      <c r="N47" s="18" t="str">
        <f t="shared" si="27"/>
        <v>OCC</v>
      </c>
      <c r="O47" s="18" t="str">
        <f t="shared" si="28"/>
        <v>OCC2340</v>
      </c>
      <c r="P47" s="18" t="str">
        <f t="shared" si="29"/>
        <v>OCC2340Mecânica</v>
      </c>
      <c r="Q47" s="18" t="str">
        <f t="shared" si="30"/>
        <v>OCC2340MecânicaAcondicionamento</v>
      </c>
      <c r="R47" s="19" t="s">
        <v>652</v>
      </c>
      <c r="S47" s="18">
        <f t="shared" si="31"/>
        <v>3</v>
      </c>
      <c r="T47" s="18" t="str">
        <f t="shared" si="32"/>
        <v>EBN.OCC.2340.INM-01-0302</v>
      </c>
      <c r="U47" s="18" t="str">
        <f>IF(AND(J47&lt;&gt;"FIXO",E47="Fornecimento de Equipamento"),"#"&amp;montDes(E47,G47,H47),montDes(E47,G47,H47))</f>
        <v>Acondicionamento - JOGO DE CALÇOS EM FOLHA PLASTICA (8 FOLHAS POR KIT), COMPRIMENTO 305 mm X LARGURA 152 mm, COM A SEGUINTES MEDIDAS (ESPESSURA EM mm) - 0,05, 0,08, 0,1, 0,13, 0,19, 0,25, 0,38 E 0,51 - FERR2000-05016_2340</v>
      </c>
      <c r="V47" t="str">
        <f t="shared" si="33"/>
        <v>FERR2000-05016_2340</v>
      </c>
      <c r="W47" t="str">
        <f t="shared" si="34"/>
        <v>UN</v>
      </c>
      <c r="X47" t="s">
        <v>673</v>
      </c>
      <c r="Y47">
        <f t="shared" si="35"/>
        <v>8</v>
      </c>
      <c r="Z47" s="19" t="s">
        <v>697</v>
      </c>
      <c r="AA47" t="str">
        <f t="shared" si="36"/>
        <v>Acondicionamento - Mecânica</v>
      </c>
      <c r="AB47" t="str">
        <f t="shared" si="37"/>
        <v>62151146</v>
      </c>
      <c r="AC47" t="str">
        <f>_xlfn.XLOOKUP(AA47,referencia!A:A,referencia!B:B,"Error",0,1)</f>
        <v>94002445</v>
      </c>
      <c r="AD47" t="str">
        <f t="shared" si="38"/>
        <v>2,00</v>
      </c>
      <c r="AE47" t="str">
        <f>IF(OR(E47 = "Fornecimento de Equipamento",E47 ="#Fornecimento de Equipamento"),codMateriais(C47,A47,Z47),"")</f>
        <v/>
      </c>
      <c r="AG47" t="str">
        <f t="shared" si="39"/>
        <v/>
      </c>
      <c r="AH47" t="str">
        <f t="shared" si="40"/>
        <v/>
      </c>
      <c r="AI47" t="str">
        <f t="shared" si="41"/>
        <v/>
      </c>
      <c r="AJ47" t="str">
        <f t="shared" si="42"/>
        <v/>
      </c>
      <c r="AK47">
        <f>IF(AND(E47 &lt;&gt; "*Supervisão*", E47 &lt;&gt; "Hookup Elétrico", E47 &lt;&gt; "Hookup Instrumentação", E47 &lt;&gt; "Hookup Tubulação"),VLOOKUP(AC47,referencia!$B$2:$C$29,2,FALSE),"")</f>
        <v>16.887</v>
      </c>
      <c r="AL47" t="str">
        <f t="shared" si="43"/>
        <v>62151146</v>
      </c>
      <c r="AM47">
        <f>IF(AND(E47 &lt;&gt; "*Supervisão*", E47 &lt;&gt; "Hookup Elétrico", E47 &lt;&gt; "Hookup Instrumentação", E47 &lt;&gt; "Hookup Tubulação"),IF(OR(E47 = "Fornecimento de Equipamento",E47 ="#Fornecimento de Equipamento"),AE47,VLOOKUP(AC47,referencia!$B$2:$D$29,3,FALSE)),"")</f>
        <v>23000007</v>
      </c>
      <c r="AN47">
        <f t="shared" si="24"/>
        <v>33.774000000000001</v>
      </c>
      <c r="AO47" t="str">
        <f>IF($E47 = "Preservação",VLOOKUP(AC47,referencia!$B$1:$G$29,6,FALSE),"")</f>
        <v/>
      </c>
      <c r="AP47" t="str">
        <f t="shared" si="44"/>
        <v/>
      </c>
      <c r="AQ47" t="str">
        <f>IF($E47 = "Preservação",VLOOKUP(AC47,referencia!$B$1:$F$29,5,FALSE),"")</f>
        <v/>
      </c>
      <c r="AR47" t="str">
        <f t="shared" si="45"/>
        <v/>
      </c>
      <c r="AS47">
        <f>VLOOKUP(AC47,referencia!$B$2:$E$29,4,FALSE)</f>
        <v>0.08</v>
      </c>
      <c r="AT47">
        <f t="shared" si="46"/>
        <v>36.475920000000002</v>
      </c>
      <c r="AU47">
        <f t="shared" si="47"/>
        <v>291.80736000000002</v>
      </c>
      <c r="AV47">
        <f t="shared" si="25"/>
        <v>48.12</v>
      </c>
      <c r="AW47">
        <f t="shared" si="48"/>
        <v>384.96</v>
      </c>
      <c r="AX47" t="str">
        <f t="shared" si="23"/>
        <v>Diferente</v>
      </c>
    </row>
    <row r="48" spans="1:50" x14ac:dyDescent="0.25">
      <c r="A48" t="s">
        <v>565</v>
      </c>
      <c r="B48" t="s">
        <v>566</v>
      </c>
      <c r="C48">
        <v>2000</v>
      </c>
      <c r="D48">
        <v>2340</v>
      </c>
      <c r="E48" t="s">
        <v>543</v>
      </c>
      <c r="F48" t="s">
        <v>478</v>
      </c>
      <c r="G48" t="s">
        <v>575</v>
      </c>
      <c r="H48" t="s">
        <v>576</v>
      </c>
      <c r="I48">
        <v>1</v>
      </c>
      <c r="J48" t="s">
        <v>549</v>
      </c>
      <c r="K48" t="s">
        <v>648</v>
      </c>
      <c r="L48" t="s">
        <v>650</v>
      </c>
      <c r="M48" s="18" t="str">
        <f t="shared" si="26"/>
        <v>022340031FERR2000-05023_2340</v>
      </c>
      <c r="N48" s="18" t="str">
        <f t="shared" si="27"/>
        <v>OCC</v>
      </c>
      <c r="O48" s="18" t="str">
        <f t="shared" si="28"/>
        <v>OCC2340</v>
      </c>
      <c r="P48" s="18" t="str">
        <f t="shared" si="29"/>
        <v>OCC2340Mecânica</v>
      </c>
      <c r="Q48" s="18" t="str">
        <f t="shared" si="30"/>
        <v>OCC2340MecânicaAcondicionamento</v>
      </c>
      <c r="R48" s="19" t="s">
        <v>653</v>
      </c>
      <c r="S48" s="18">
        <f t="shared" si="31"/>
        <v>3</v>
      </c>
      <c r="T48" s="18" t="str">
        <f t="shared" si="32"/>
        <v>EBN.OCC.2340.INM-01-0303</v>
      </c>
      <c r="U48" s="18" t="str">
        <f>IF(AND(J48&lt;&gt;"FIXO",E48="Fornecimento de Equipamento"),"#"&amp;montDes(E48,G48,H48),montDes(E48,G48,H48))</f>
        <v>Acondicionamento - SOPRADOR TÉRMICO, 2 KW DE POTÊNCIA, TENSÃO 220 A 240V, 60 Hz, TEMPERATURA MÁXIMA 550ºC; PESO 750 g. COM ACESSÓRIOS INCLUSOS (Bocal 4pcs (bocal refletor, bocal protetor de vidro, bocal cônico, bocal rabo de peixe) – 1 RASPADOR – CABO DE PLASTICO - FERR2000-05023_2340</v>
      </c>
      <c r="V48" t="str">
        <f t="shared" si="33"/>
        <v>FERR2000-05023_2340</v>
      </c>
      <c r="W48" t="str">
        <f t="shared" si="34"/>
        <v>UN</v>
      </c>
      <c r="X48" t="s">
        <v>673</v>
      </c>
      <c r="Y48">
        <f t="shared" si="35"/>
        <v>1</v>
      </c>
      <c r="Z48" s="19" t="s">
        <v>698</v>
      </c>
      <c r="AA48" t="str">
        <f t="shared" si="36"/>
        <v>Acondicionamento - Mecânica</v>
      </c>
      <c r="AB48" t="str">
        <f t="shared" si="37"/>
        <v>62151147</v>
      </c>
      <c r="AC48" t="str">
        <f>_xlfn.XLOOKUP(AA48,referencia!A:A,referencia!B:B,"Error",0,1)</f>
        <v>94002445</v>
      </c>
      <c r="AD48" t="str">
        <f t="shared" si="38"/>
        <v>2,00</v>
      </c>
      <c r="AE48" t="str">
        <f>IF(OR(E48 = "Fornecimento de Equipamento",E48 ="#Fornecimento de Equipamento"),codMateriais(C48,A48,Z48),"")</f>
        <v/>
      </c>
      <c r="AG48" t="str">
        <f t="shared" si="39"/>
        <v/>
      </c>
      <c r="AH48" t="str">
        <f t="shared" si="40"/>
        <v/>
      </c>
      <c r="AI48" t="str">
        <f t="shared" si="41"/>
        <v/>
      </c>
      <c r="AJ48" t="str">
        <f t="shared" si="42"/>
        <v/>
      </c>
      <c r="AK48">
        <f>IF(AND(E48 &lt;&gt; "*Supervisão*", E48 &lt;&gt; "Hookup Elétrico", E48 &lt;&gt; "Hookup Instrumentação", E48 &lt;&gt; "Hookup Tubulação"),VLOOKUP(AC48,referencia!$B$2:$C$29,2,FALSE),"")</f>
        <v>16.887</v>
      </c>
      <c r="AL48" t="str">
        <f t="shared" si="43"/>
        <v>62151147</v>
      </c>
      <c r="AM48">
        <f>IF(AND(E48 &lt;&gt; "*Supervisão*", E48 &lt;&gt; "Hookup Elétrico", E48 &lt;&gt; "Hookup Instrumentação", E48 &lt;&gt; "Hookup Tubulação"),IF(OR(E48 = "Fornecimento de Equipamento",E48 ="#Fornecimento de Equipamento"),AE48,VLOOKUP(AC48,referencia!$B$2:$D$29,3,FALSE)),"")</f>
        <v>23000007</v>
      </c>
      <c r="AN48">
        <f t="shared" si="24"/>
        <v>33.774000000000001</v>
      </c>
      <c r="AO48" t="str">
        <f>IF($E48 = "Preservação",VLOOKUP(AC48,referencia!$B$1:$G$29,6,FALSE),"")</f>
        <v/>
      </c>
      <c r="AP48" t="str">
        <f t="shared" si="44"/>
        <v/>
      </c>
      <c r="AQ48" t="str">
        <f>IF($E48 = "Preservação",VLOOKUP(AC48,referencia!$B$1:$F$29,5,FALSE),"")</f>
        <v/>
      </c>
      <c r="AR48" t="str">
        <f t="shared" si="45"/>
        <v/>
      </c>
      <c r="AS48">
        <f>VLOOKUP(AC48,referencia!$B$2:$E$29,4,FALSE)</f>
        <v>0.08</v>
      </c>
      <c r="AT48">
        <f t="shared" si="46"/>
        <v>36.475920000000002</v>
      </c>
      <c r="AU48">
        <f t="shared" si="47"/>
        <v>36.475920000000002</v>
      </c>
      <c r="AV48">
        <f t="shared" si="25"/>
        <v>48.12</v>
      </c>
      <c r="AW48">
        <f t="shared" si="48"/>
        <v>48.12</v>
      </c>
      <c r="AX48" t="str">
        <f t="shared" si="23"/>
        <v>Diferente</v>
      </c>
    </row>
    <row r="49" spans="1:50" x14ac:dyDescent="0.25">
      <c r="A49" t="s">
        <v>565</v>
      </c>
      <c r="B49" t="s">
        <v>566</v>
      </c>
      <c r="C49">
        <v>2000</v>
      </c>
      <c r="D49">
        <v>2340</v>
      </c>
      <c r="E49" t="s">
        <v>543</v>
      </c>
      <c r="F49" t="s">
        <v>478</v>
      </c>
      <c r="G49" t="s">
        <v>579</v>
      </c>
      <c r="H49" t="s">
        <v>580</v>
      </c>
      <c r="I49">
        <v>1</v>
      </c>
      <c r="J49" t="s">
        <v>549</v>
      </c>
      <c r="K49" t="s">
        <v>648</v>
      </c>
      <c r="L49" t="s">
        <v>650</v>
      </c>
      <c r="M49" s="18" t="str">
        <f t="shared" si="26"/>
        <v>022340031FERR2000-05024_2340</v>
      </c>
      <c r="N49" s="18" t="str">
        <f t="shared" si="27"/>
        <v>OCC</v>
      </c>
      <c r="O49" s="18" t="str">
        <f t="shared" si="28"/>
        <v>OCC2340</v>
      </c>
      <c r="P49" s="18" t="str">
        <f t="shared" si="29"/>
        <v>OCC2340Mecânica</v>
      </c>
      <c r="Q49" s="18" t="str">
        <f t="shared" si="30"/>
        <v>OCC2340MecânicaAcondicionamento</v>
      </c>
      <c r="R49" s="19" t="s">
        <v>654</v>
      </c>
      <c r="S49" s="18">
        <f t="shared" si="31"/>
        <v>3</v>
      </c>
      <c r="T49" s="18" t="str">
        <f t="shared" si="32"/>
        <v>EBN.OCC.2340.INM-01-0304</v>
      </c>
      <c r="U49" s="18" t="str">
        <f>IF(AND(J49&lt;&gt;"FIXO",E49="Fornecimento de Equipamento"),"#"&amp;montDes(E49,G49,H49),montDes(E49,G49,H49))</f>
        <v>Acondicionamento - Barra de bronze fosforoso, Ø 3/4", comprimnto 330 mm, dureza 120 HB, resistência a tração - 420N/mm², condutibilidade térmica 47W/mK; - FERR2000-05024_2340</v>
      </c>
      <c r="V49" t="str">
        <f t="shared" si="33"/>
        <v>FERR2000-05024_2340</v>
      </c>
      <c r="W49" t="str">
        <f t="shared" si="34"/>
        <v>UN</v>
      </c>
      <c r="X49" t="s">
        <v>673</v>
      </c>
      <c r="Y49">
        <f t="shared" si="35"/>
        <v>1</v>
      </c>
      <c r="Z49" s="19" t="s">
        <v>699</v>
      </c>
      <c r="AA49" t="str">
        <f t="shared" si="36"/>
        <v>Acondicionamento - Mecânica</v>
      </c>
      <c r="AB49" t="str">
        <f t="shared" si="37"/>
        <v>62151148</v>
      </c>
      <c r="AC49" t="str">
        <f>_xlfn.XLOOKUP(AA49,referencia!A:A,referencia!B:B,"Error",0,1)</f>
        <v>94002445</v>
      </c>
      <c r="AD49" t="str">
        <f t="shared" si="38"/>
        <v>2,00</v>
      </c>
      <c r="AE49" t="str">
        <f>IF(OR(E49 = "Fornecimento de Equipamento",E49 ="#Fornecimento de Equipamento"),codMateriais(C49,A49,Z49),"")</f>
        <v/>
      </c>
      <c r="AG49" t="str">
        <f t="shared" si="39"/>
        <v/>
      </c>
      <c r="AH49" t="str">
        <f t="shared" si="40"/>
        <v/>
      </c>
      <c r="AI49" t="str">
        <f t="shared" si="41"/>
        <v/>
      </c>
      <c r="AJ49" t="str">
        <f t="shared" si="42"/>
        <v/>
      </c>
      <c r="AK49">
        <f>IF(AND(E49 &lt;&gt; "*Supervisão*", E49 &lt;&gt; "Hookup Elétrico", E49 &lt;&gt; "Hookup Instrumentação", E49 &lt;&gt; "Hookup Tubulação"),VLOOKUP(AC49,referencia!$B$2:$C$29,2,FALSE),"")</f>
        <v>16.887</v>
      </c>
      <c r="AL49" t="str">
        <f t="shared" si="43"/>
        <v>62151148</v>
      </c>
      <c r="AM49">
        <f>IF(AND(E49 &lt;&gt; "*Supervisão*", E49 &lt;&gt; "Hookup Elétrico", E49 &lt;&gt; "Hookup Instrumentação", E49 &lt;&gt; "Hookup Tubulação"),IF(OR(E49 = "Fornecimento de Equipamento",E49 ="#Fornecimento de Equipamento"),AE49,VLOOKUP(AC49,referencia!$B$2:$D$29,3,FALSE)),"")</f>
        <v>23000007</v>
      </c>
      <c r="AN49">
        <f t="shared" si="24"/>
        <v>33.774000000000001</v>
      </c>
      <c r="AO49" t="str">
        <f>IF($E49 = "Preservação",VLOOKUP(AC49,referencia!$B$1:$G$29,6,FALSE),"")</f>
        <v/>
      </c>
      <c r="AP49" t="str">
        <f t="shared" si="44"/>
        <v/>
      </c>
      <c r="AQ49" t="str">
        <f>IF($E49 = "Preservação",VLOOKUP(AC49,referencia!$B$1:$F$29,5,FALSE),"")</f>
        <v/>
      </c>
      <c r="AR49" t="str">
        <f t="shared" si="45"/>
        <v/>
      </c>
      <c r="AS49">
        <f>VLOOKUP(AC49,referencia!$B$2:$E$29,4,FALSE)</f>
        <v>0.08</v>
      </c>
      <c r="AT49">
        <f t="shared" si="46"/>
        <v>36.475920000000002</v>
      </c>
      <c r="AU49">
        <f t="shared" si="47"/>
        <v>36.475920000000002</v>
      </c>
      <c r="AV49">
        <f t="shared" si="25"/>
        <v>48.12</v>
      </c>
      <c r="AW49">
        <f t="shared" si="48"/>
        <v>48.12</v>
      </c>
      <c r="AX49" t="str">
        <f t="shared" si="23"/>
        <v>Diferente</v>
      </c>
    </row>
    <row r="50" spans="1:50" x14ac:dyDescent="0.25">
      <c r="A50" t="s">
        <v>565</v>
      </c>
      <c r="B50" t="s">
        <v>566</v>
      </c>
      <c r="C50">
        <v>2000</v>
      </c>
      <c r="D50">
        <v>2340</v>
      </c>
      <c r="E50" t="s">
        <v>543</v>
      </c>
      <c r="F50" t="s">
        <v>478</v>
      </c>
      <c r="G50" t="s">
        <v>583</v>
      </c>
      <c r="H50" t="s">
        <v>584</v>
      </c>
      <c r="I50">
        <v>2</v>
      </c>
      <c r="J50" t="s">
        <v>549</v>
      </c>
      <c r="K50" t="s">
        <v>648</v>
      </c>
      <c r="L50" t="s">
        <v>650</v>
      </c>
      <c r="M50" s="18" t="str">
        <f t="shared" si="26"/>
        <v>022340031FERR2000-05031_2340</v>
      </c>
      <c r="N50" s="18" t="str">
        <f t="shared" si="27"/>
        <v>OCC</v>
      </c>
      <c r="O50" s="18" t="str">
        <f t="shared" si="28"/>
        <v>OCC2340</v>
      </c>
      <c r="P50" s="18" t="str">
        <f t="shared" si="29"/>
        <v>OCC2340Mecânica</v>
      </c>
      <c r="Q50" s="18" t="str">
        <f t="shared" si="30"/>
        <v>OCC2340MecânicaAcondicionamento</v>
      </c>
      <c r="R50" s="19" t="s">
        <v>655</v>
      </c>
      <c r="S50" s="18">
        <f t="shared" si="31"/>
        <v>3</v>
      </c>
      <c r="T50" s="18" t="str">
        <f t="shared" si="32"/>
        <v>EBN.OCC.2340.INM-01-0305</v>
      </c>
      <c r="U50" s="18" t="str">
        <f>IF(AND(J50&lt;&gt;"FIXO",E50="Fornecimento de Equipamento"),"#"&amp;montDes(E50,G50,H50),montDes(E50,G50,H50))</f>
        <v>Acondicionamento - Cabeça para chave dinamométrica - referência FACOM S.372 - quadrado de 1/2". - FERR2000-05031_2340</v>
      </c>
      <c r="V50" t="str">
        <f t="shared" si="33"/>
        <v>FERR2000-05031_2340</v>
      </c>
      <c r="W50" t="str">
        <f t="shared" si="34"/>
        <v>UN</v>
      </c>
      <c r="X50" t="s">
        <v>673</v>
      </c>
      <c r="Y50">
        <f t="shared" si="35"/>
        <v>2</v>
      </c>
      <c r="Z50" s="19" t="s">
        <v>700</v>
      </c>
      <c r="AA50" t="str">
        <f t="shared" si="36"/>
        <v>Acondicionamento - Mecânica</v>
      </c>
      <c r="AB50" t="str">
        <f t="shared" si="37"/>
        <v>62151149</v>
      </c>
      <c r="AC50" t="str">
        <f>_xlfn.XLOOKUP(AA50,referencia!A:A,referencia!B:B,"Error",0,1)</f>
        <v>94002445</v>
      </c>
      <c r="AD50" t="str">
        <f t="shared" si="38"/>
        <v>2,00</v>
      </c>
      <c r="AE50" t="str">
        <f>IF(OR(E50 = "Fornecimento de Equipamento",E50 ="#Fornecimento de Equipamento"),codMateriais(C50,A50,Z50),"")</f>
        <v/>
      </c>
      <c r="AG50" t="str">
        <f t="shared" si="39"/>
        <v/>
      </c>
      <c r="AH50" t="str">
        <f t="shared" si="40"/>
        <v/>
      </c>
      <c r="AI50" t="str">
        <f t="shared" si="41"/>
        <v/>
      </c>
      <c r="AJ50" t="str">
        <f t="shared" si="42"/>
        <v/>
      </c>
      <c r="AK50">
        <f>IF(AND(E50 &lt;&gt; "*Supervisão*", E50 &lt;&gt; "Hookup Elétrico", E50 &lt;&gt; "Hookup Instrumentação", E50 &lt;&gt; "Hookup Tubulação"),VLOOKUP(AC50,referencia!$B$2:$C$29,2,FALSE),"")</f>
        <v>16.887</v>
      </c>
      <c r="AL50" t="str">
        <f t="shared" si="43"/>
        <v>62151149</v>
      </c>
      <c r="AM50">
        <f>IF(AND(E50 &lt;&gt; "*Supervisão*", E50 &lt;&gt; "Hookup Elétrico", E50 &lt;&gt; "Hookup Instrumentação", E50 &lt;&gt; "Hookup Tubulação"),IF(OR(E50 = "Fornecimento de Equipamento",E50 ="#Fornecimento de Equipamento"),AE50,VLOOKUP(AC50,referencia!$B$2:$D$29,3,FALSE)),"")</f>
        <v>23000007</v>
      </c>
      <c r="AN50">
        <f t="shared" si="24"/>
        <v>33.774000000000001</v>
      </c>
      <c r="AO50" t="str">
        <f>IF($E50 = "Preservação",VLOOKUP(AC50,referencia!$B$1:$G$29,6,FALSE),"")</f>
        <v/>
      </c>
      <c r="AP50" t="str">
        <f t="shared" si="44"/>
        <v/>
      </c>
      <c r="AQ50" t="str">
        <f>IF($E50 = "Preservação",VLOOKUP(AC50,referencia!$B$1:$F$29,5,FALSE),"")</f>
        <v/>
      </c>
      <c r="AR50" t="str">
        <f t="shared" si="45"/>
        <v/>
      </c>
      <c r="AS50">
        <f>VLOOKUP(AC50,referencia!$B$2:$E$29,4,FALSE)</f>
        <v>0.08</v>
      </c>
      <c r="AT50">
        <f t="shared" si="46"/>
        <v>36.475920000000002</v>
      </c>
      <c r="AU50">
        <f t="shared" si="47"/>
        <v>72.951840000000004</v>
      </c>
      <c r="AV50">
        <f t="shared" si="25"/>
        <v>48.12</v>
      </c>
      <c r="AW50">
        <f t="shared" si="48"/>
        <v>96.24</v>
      </c>
      <c r="AX50" t="str">
        <f t="shared" si="23"/>
        <v>Diferente</v>
      </c>
    </row>
    <row r="51" spans="1:50" x14ac:dyDescent="0.25">
      <c r="A51" t="s">
        <v>565</v>
      </c>
      <c r="B51" t="s">
        <v>566</v>
      </c>
      <c r="C51">
        <v>2000</v>
      </c>
      <c r="D51">
        <v>2340</v>
      </c>
      <c r="E51" t="s">
        <v>543</v>
      </c>
      <c r="F51" t="s">
        <v>478</v>
      </c>
      <c r="G51" t="s">
        <v>587</v>
      </c>
      <c r="H51" t="s">
        <v>588</v>
      </c>
      <c r="I51">
        <v>1</v>
      </c>
      <c r="J51" t="s">
        <v>549</v>
      </c>
      <c r="K51" t="s">
        <v>648</v>
      </c>
      <c r="L51" t="s">
        <v>650</v>
      </c>
      <c r="M51" s="18" t="str">
        <f t="shared" si="26"/>
        <v>022340031FERR2000-05032_2340</v>
      </c>
      <c r="N51" s="18" t="str">
        <f t="shared" si="27"/>
        <v>OCC</v>
      </c>
      <c r="O51" s="18" t="str">
        <f t="shared" si="28"/>
        <v>OCC2340</v>
      </c>
      <c r="P51" s="18" t="str">
        <f t="shared" si="29"/>
        <v>OCC2340Mecânica</v>
      </c>
      <c r="Q51" s="18" t="str">
        <f t="shared" si="30"/>
        <v>OCC2340MecânicaAcondicionamento</v>
      </c>
      <c r="R51" s="19" t="s">
        <v>656</v>
      </c>
      <c r="S51" s="18">
        <f t="shared" si="31"/>
        <v>3</v>
      </c>
      <c r="T51" s="18" t="str">
        <f t="shared" si="32"/>
        <v>EBN.OCC.2340.INM-01-0306</v>
      </c>
      <c r="U51" s="18" t="str">
        <f>IF(AND(J51&lt;&gt;"FIXO",E51="Fornecimento de Equipamento"),"#"&amp;montDes(E51,G51,H51),montDes(E51,G51,H51))</f>
        <v>Acondicionamento - Cabeça para chave dinamométrica - referência STAHLWILLE - 14 x 18 mm. - FERR2000-05032_2340</v>
      </c>
      <c r="V51" t="str">
        <f t="shared" si="33"/>
        <v>FERR2000-05032_2340</v>
      </c>
      <c r="W51" t="str">
        <f t="shared" si="34"/>
        <v>UN</v>
      </c>
      <c r="X51" t="s">
        <v>673</v>
      </c>
      <c r="Y51">
        <f t="shared" si="35"/>
        <v>1</v>
      </c>
      <c r="Z51" s="19" t="s">
        <v>701</v>
      </c>
      <c r="AA51" t="str">
        <f t="shared" si="36"/>
        <v>Acondicionamento - Mecânica</v>
      </c>
      <c r="AB51" t="str">
        <f t="shared" si="37"/>
        <v>62151150</v>
      </c>
      <c r="AC51" t="str">
        <f>_xlfn.XLOOKUP(AA51,referencia!A:A,referencia!B:B,"Error",0,1)</f>
        <v>94002445</v>
      </c>
      <c r="AD51" t="str">
        <f t="shared" si="38"/>
        <v>2,00</v>
      </c>
      <c r="AE51" t="str">
        <f>IF(OR(E51 = "Fornecimento de Equipamento",E51 ="#Fornecimento de Equipamento"),codMateriais(C51,A51,Z51),"")</f>
        <v/>
      </c>
      <c r="AG51" t="str">
        <f t="shared" si="39"/>
        <v/>
      </c>
      <c r="AH51" t="str">
        <f t="shared" si="40"/>
        <v/>
      </c>
      <c r="AI51" t="str">
        <f t="shared" si="41"/>
        <v/>
      </c>
      <c r="AJ51" t="str">
        <f t="shared" si="42"/>
        <v/>
      </c>
      <c r="AK51">
        <f>IF(AND(E51 &lt;&gt; "*Supervisão*", E51 &lt;&gt; "Hookup Elétrico", E51 &lt;&gt; "Hookup Instrumentação", E51 &lt;&gt; "Hookup Tubulação"),VLOOKUP(AC51,referencia!$B$2:$C$29,2,FALSE),"")</f>
        <v>16.887</v>
      </c>
      <c r="AL51" t="str">
        <f t="shared" si="43"/>
        <v>62151150</v>
      </c>
      <c r="AM51">
        <f>IF(AND(E51 &lt;&gt; "*Supervisão*", E51 &lt;&gt; "Hookup Elétrico", E51 &lt;&gt; "Hookup Instrumentação", E51 &lt;&gt; "Hookup Tubulação"),IF(OR(E51 = "Fornecimento de Equipamento",E51 ="#Fornecimento de Equipamento"),AE51,VLOOKUP(AC51,referencia!$B$2:$D$29,3,FALSE)),"")</f>
        <v>23000007</v>
      </c>
      <c r="AN51">
        <f t="shared" si="24"/>
        <v>33.774000000000001</v>
      </c>
      <c r="AO51" t="str">
        <f>IF($E51 = "Preservação",VLOOKUP(AC51,referencia!$B$1:$G$29,6,FALSE),"")</f>
        <v/>
      </c>
      <c r="AP51" t="str">
        <f t="shared" si="44"/>
        <v/>
      </c>
      <c r="AQ51" t="str">
        <f>IF($E51 = "Preservação",VLOOKUP(AC51,referencia!$B$1:$F$29,5,FALSE),"")</f>
        <v/>
      </c>
      <c r="AR51" t="str">
        <f t="shared" si="45"/>
        <v/>
      </c>
      <c r="AS51">
        <f>VLOOKUP(AC51,referencia!$B$2:$E$29,4,FALSE)</f>
        <v>0.08</v>
      </c>
      <c r="AT51">
        <f t="shared" si="46"/>
        <v>36.475920000000002</v>
      </c>
      <c r="AU51">
        <f t="shared" si="47"/>
        <v>36.475920000000002</v>
      </c>
      <c r="AV51">
        <f t="shared" si="25"/>
        <v>48.12</v>
      </c>
      <c r="AW51">
        <f t="shared" si="48"/>
        <v>48.12</v>
      </c>
      <c r="AX51" t="str">
        <f t="shared" si="23"/>
        <v>Diferente</v>
      </c>
    </row>
    <row r="52" spans="1:50" x14ac:dyDescent="0.25">
      <c r="A52" t="s">
        <v>565</v>
      </c>
      <c r="B52" t="s">
        <v>566</v>
      </c>
      <c r="C52">
        <v>2000</v>
      </c>
      <c r="D52">
        <v>2340</v>
      </c>
      <c r="E52" t="s">
        <v>543</v>
      </c>
      <c r="F52" t="s">
        <v>478</v>
      </c>
      <c r="G52" t="s">
        <v>591</v>
      </c>
      <c r="H52" t="s">
        <v>592</v>
      </c>
      <c r="I52">
        <v>1</v>
      </c>
      <c r="J52" t="s">
        <v>549</v>
      </c>
      <c r="K52" t="s">
        <v>648</v>
      </c>
      <c r="L52" t="s">
        <v>650</v>
      </c>
      <c r="M52" s="18" t="str">
        <f t="shared" si="26"/>
        <v>022340031FERR2000-05033_2340</v>
      </c>
      <c r="N52" s="18" t="str">
        <f t="shared" si="27"/>
        <v>OCC</v>
      </c>
      <c r="O52" s="18" t="str">
        <f t="shared" si="28"/>
        <v>OCC2340</v>
      </c>
      <c r="P52" s="18" t="str">
        <f t="shared" si="29"/>
        <v>OCC2340Mecânica</v>
      </c>
      <c r="Q52" s="18" t="str">
        <f t="shared" si="30"/>
        <v>OCC2340MecânicaAcondicionamento</v>
      </c>
      <c r="R52" s="19" t="s">
        <v>657</v>
      </c>
      <c r="S52" s="18">
        <f t="shared" si="31"/>
        <v>3</v>
      </c>
      <c r="T52" s="18" t="str">
        <f t="shared" si="32"/>
        <v>EBN.OCC.2340.INM-01-0307</v>
      </c>
      <c r="U52" s="18" t="str">
        <f>IF(AND(J52&lt;&gt;"FIXO",E52="Fornecimento de Equipamento"),"#"&amp;montDes(E52,G52,H52),montDes(E52,G52,H52))</f>
        <v>Acondicionamento - Chave de fenda unidirecional, torque à direita, Classe II tipo D (manutenção A.400), Saída hexagonal fêmea para uso com bit de 1/4", Unidade ECR 1/4" - 1/4" para tomadas e acessórios opcionais, Encaixe de 1/4" no cabo para uso com cabo de catraca tipo A.3 - FERR2000-05033_2340</v>
      </c>
      <c r="V52" t="str">
        <f t="shared" si="33"/>
        <v>FERR2000-05033_2340</v>
      </c>
      <c r="W52" t="str">
        <f t="shared" si="34"/>
        <v>UN</v>
      </c>
      <c r="X52" t="s">
        <v>673</v>
      </c>
      <c r="Y52">
        <f t="shared" si="35"/>
        <v>1</v>
      </c>
      <c r="Z52" s="19" t="s">
        <v>702</v>
      </c>
      <c r="AA52" t="str">
        <f t="shared" si="36"/>
        <v>Acondicionamento - Mecânica</v>
      </c>
      <c r="AB52" t="str">
        <f t="shared" si="37"/>
        <v>62151151</v>
      </c>
      <c r="AC52" t="str">
        <f>_xlfn.XLOOKUP(AA52,referencia!A:A,referencia!B:B,"Error",0,1)</f>
        <v>94002445</v>
      </c>
      <c r="AD52" t="str">
        <f t="shared" si="38"/>
        <v>2,00</v>
      </c>
      <c r="AE52" t="str">
        <f>IF(OR(E52 = "Fornecimento de Equipamento",E52 ="#Fornecimento de Equipamento"),codMateriais(C52,A52,Z52),"")</f>
        <v/>
      </c>
      <c r="AG52" t="str">
        <f t="shared" si="39"/>
        <v/>
      </c>
      <c r="AH52" t="str">
        <f t="shared" si="40"/>
        <v/>
      </c>
      <c r="AI52" t="str">
        <f t="shared" si="41"/>
        <v/>
      </c>
      <c r="AJ52" t="str">
        <f t="shared" si="42"/>
        <v/>
      </c>
      <c r="AK52">
        <f>IF(AND(E52 &lt;&gt; "*Supervisão*", E52 &lt;&gt; "Hookup Elétrico", E52 &lt;&gt; "Hookup Instrumentação", E52 &lt;&gt; "Hookup Tubulação"),VLOOKUP(AC52,referencia!$B$2:$C$29,2,FALSE),"")</f>
        <v>16.887</v>
      </c>
      <c r="AL52" t="str">
        <f t="shared" si="43"/>
        <v>62151151</v>
      </c>
      <c r="AM52">
        <f>IF(AND(E52 &lt;&gt; "*Supervisão*", E52 &lt;&gt; "Hookup Elétrico", E52 &lt;&gt; "Hookup Instrumentação", E52 &lt;&gt; "Hookup Tubulação"),IF(OR(E52 = "Fornecimento de Equipamento",E52 ="#Fornecimento de Equipamento"),AE52,VLOOKUP(AC52,referencia!$B$2:$D$29,3,FALSE)),"")</f>
        <v>23000007</v>
      </c>
      <c r="AN52">
        <f t="shared" si="24"/>
        <v>33.774000000000001</v>
      </c>
      <c r="AO52" t="str">
        <f>IF($E52 = "Preservação",VLOOKUP(AC52,referencia!$B$1:$G$29,6,FALSE),"")</f>
        <v/>
      </c>
      <c r="AP52" t="str">
        <f t="shared" si="44"/>
        <v/>
      </c>
      <c r="AQ52" t="str">
        <f>IF($E52 = "Preservação",VLOOKUP(AC52,referencia!$B$1:$F$29,5,FALSE),"")</f>
        <v/>
      </c>
      <c r="AR52" t="str">
        <f t="shared" si="45"/>
        <v/>
      </c>
      <c r="AS52">
        <f>VLOOKUP(AC52,referencia!$B$2:$E$29,4,FALSE)</f>
        <v>0.08</v>
      </c>
      <c r="AT52">
        <f t="shared" si="46"/>
        <v>36.475920000000002</v>
      </c>
      <c r="AU52">
        <f t="shared" si="47"/>
        <v>36.475920000000002</v>
      </c>
      <c r="AV52">
        <f t="shared" si="25"/>
        <v>48.12</v>
      </c>
      <c r="AW52">
        <f t="shared" si="48"/>
        <v>48.12</v>
      </c>
      <c r="AX52" t="str">
        <f t="shared" si="23"/>
        <v>Diferente</v>
      </c>
    </row>
    <row r="53" spans="1:50" x14ac:dyDescent="0.25">
      <c r="A53" t="s">
        <v>565</v>
      </c>
      <c r="B53" t="s">
        <v>566</v>
      </c>
      <c r="C53">
        <v>2000</v>
      </c>
      <c r="D53">
        <v>2340</v>
      </c>
      <c r="E53" t="s">
        <v>543</v>
      </c>
      <c r="F53" t="s">
        <v>478</v>
      </c>
      <c r="G53" t="s">
        <v>591</v>
      </c>
      <c r="H53" t="s">
        <v>595</v>
      </c>
      <c r="I53">
        <v>1</v>
      </c>
      <c r="J53" t="s">
        <v>549</v>
      </c>
      <c r="K53" t="s">
        <v>648</v>
      </c>
      <c r="L53" t="s">
        <v>650</v>
      </c>
      <c r="M53" s="18" t="str">
        <f t="shared" si="26"/>
        <v>022340031FERR2000-05034_2340</v>
      </c>
      <c r="N53" s="18" t="str">
        <f t="shared" si="27"/>
        <v>OCC</v>
      </c>
      <c r="O53" s="18" t="str">
        <f t="shared" si="28"/>
        <v>OCC2340</v>
      </c>
      <c r="P53" s="18" t="str">
        <f t="shared" si="29"/>
        <v>OCC2340Mecânica</v>
      </c>
      <c r="Q53" s="18" t="str">
        <f t="shared" si="30"/>
        <v>OCC2340MecânicaAcondicionamento</v>
      </c>
      <c r="R53" s="19" t="s">
        <v>658</v>
      </c>
      <c r="S53" s="18">
        <f t="shared" si="31"/>
        <v>3</v>
      </c>
      <c r="T53" s="18" t="str">
        <f t="shared" si="32"/>
        <v>EBN.OCC.2340.INM-01-0308</v>
      </c>
      <c r="U53" s="18" t="str">
        <f>IF(AND(J53&lt;&gt;"FIXO",E53="Fornecimento de Equipamento"),"#"&amp;montDes(E53,G53,H53),montDes(E53,G53,H53))</f>
        <v>Acondicionamento - Chave de fenda unidirecional, torque à direita, Classe II tipo D (manutenção A.400), Saída hexagonal fêmea para uso com bit de 1/4", Unidade ECR 1/4" - 1/4" para tomadas e acessórios opcionais, Encaixe de 1/4" no cabo para uso com cabo de catraca tipo A.3 - FERR2000-05034_2340</v>
      </c>
      <c r="V53" t="str">
        <f t="shared" si="33"/>
        <v>FERR2000-05034_2340</v>
      </c>
      <c r="W53" t="str">
        <f t="shared" si="34"/>
        <v>UN</v>
      </c>
      <c r="X53" t="s">
        <v>673</v>
      </c>
      <c r="Y53">
        <f t="shared" si="35"/>
        <v>1</v>
      </c>
      <c r="Z53" s="19" t="s">
        <v>703</v>
      </c>
      <c r="AA53" t="str">
        <f t="shared" si="36"/>
        <v>Acondicionamento - Mecânica</v>
      </c>
      <c r="AB53" t="str">
        <f t="shared" si="37"/>
        <v>62151152</v>
      </c>
      <c r="AC53" t="str">
        <f>_xlfn.XLOOKUP(AA53,referencia!A:A,referencia!B:B,"Error",0,1)</f>
        <v>94002445</v>
      </c>
      <c r="AD53" t="str">
        <f t="shared" si="38"/>
        <v>2,00</v>
      </c>
      <c r="AE53" t="str">
        <f>IF(OR(E53 = "Fornecimento de Equipamento",E53 ="#Fornecimento de Equipamento"),codMateriais(C53,A53,Z53),"")</f>
        <v/>
      </c>
      <c r="AG53" t="str">
        <f t="shared" si="39"/>
        <v/>
      </c>
      <c r="AH53" t="str">
        <f t="shared" si="40"/>
        <v/>
      </c>
      <c r="AI53" t="str">
        <f t="shared" si="41"/>
        <v/>
      </c>
      <c r="AJ53" t="str">
        <f t="shared" si="42"/>
        <v/>
      </c>
      <c r="AK53">
        <f>IF(AND(E53 &lt;&gt; "*Supervisão*", E53 &lt;&gt; "Hookup Elétrico", E53 &lt;&gt; "Hookup Instrumentação", E53 &lt;&gt; "Hookup Tubulação"),VLOOKUP(AC53,referencia!$B$2:$C$29,2,FALSE),"")</f>
        <v>16.887</v>
      </c>
      <c r="AL53" t="str">
        <f t="shared" si="43"/>
        <v>62151152</v>
      </c>
      <c r="AM53">
        <f>IF(AND(E53 &lt;&gt; "*Supervisão*", E53 &lt;&gt; "Hookup Elétrico", E53 &lt;&gt; "Hookup Instrumentação", E53 &lt;&gt; "Hookup Tubulação"),IF(OR(E53 = "Fornecimento de Equipamento",E53 ="#Fornecimento de Equipamento"),AE53,VLOOKUP(AC53,referencia!$B$2:$D$29,3,FALSE)),"")</f>
        <v>23000007</v>
      </c>
      <c r="AN53">
        <f t="shared" si="24"/>
        <v>33.774000000000001</v>
      </c>
      <c r="AO53" t="str">
        <f>IF($E53 = "Preservação",VLOOKUP(AC53,referencia!$B$1:$G$29,6,FALSE),"")</f>
        <v/>
      </c>
      <c r="AP53" t="str">
        <f t="shared" si="44"/>
        <v/>
      </c>
      <c r="AQ53" t="str">
        <f>IF($E53 = "Preservação",VLOOKUP(AC53,referencia!$B$1:$F$29,5,FALSE),"")</f>
        <v/>
      </c>
      <c r="AR53" t="str">
        <f t="shared" si="45"/>
        <v/>
      </c>
      <c r="AS53">
        <f>VLOOKUP(AC53,referencia!$B$2:$E$29,4,FALSE)</f>
        <v>0.08</v>
      </c>
      <c r="AT53">
        <f t="shared" si="46"/>
        <v>36.475920000000002</v>
      </c>
      <c r="AU53">
        <f t="shared" si="47"/>
        <v>36.475920000000002</v>
      </c>
      <c r="AV53">
        <f t="shared" si="25"/>
        <v>48.12</v>
      </c>
      <c r="AW53">
        <f t="shared" si="48"/>
        <v>48.12</v>
      </c>
      <c r="AX53" t="str">
        <f t="shared" si="23"/>
        <v>Diferente</v>
      </c>
    </row>
    <row r="54" spans="1:50" x14ac:dyDescent="0.25">
      <c r="A54" t="s">
        <v>565</v>
      </c>
      <c r="B54" t="s">
        <v>566</v>
      </c>
      <c r="C54">
        <v>2000</v>
      </c>
      <c r="D54">
        <v>2340</v>
      </c>
      <c r="E54" t="s">
        <v>543</v>
      </c>
      <c r="F54" t="s">
        <v>478</v>
      </c>
      <c r="G54" t="s">
        <v>598</v>
      </c>
      <c r="H54" t="s">
        <v>599</v>
      </c>
      <c r="I54">
        <v>1</v>
      </c>
      <c r="J54" t="s">
        <v>549</v>
      </c>
      <c r="K54" t="s">
        <v>648</v>
      </c>
      <c r="L54" t="s">
        <v>650</v>
      </c>
      <c r="M54" s="18" t="str">
        <f t="shared" si="26"/>
        <v>022340031FERR2000-05035_2340</v>
      </c>
      <c r="N54" s="18" t="str">
        <f t="shared" si="27"/>
        <v>OCC</v>
      </c>
      <c r="O54" s="18" t="str">
        <f t="shared" si="28"/>
        <v>OCC2340</v>
      </c>
      <c r="P54" s="18" t="str">
        <f t="shared" si="29"/>
        <v>OCC2340Mecânica</v>
      </c>
      <c r="Q54" s="18" t="str">
        <f t="shared" si="30"/>
        <v>OCC2340MecânicaAcondicionamento</v>
      </c>
      <c r="R54" s="19" t="s">
        <v>659</v>
      </c>
      <c r="S54" s="18">
        <f t="shared" si="31"/>
        <v>3</v>
      </c>
      <c r="T54" s="18" t="str">
        <f t="shared" si="32"/>
        <v>EBN.OCC.2340.INM-01-0309</v>
      </c>
      <c r="U54" s="18" t="str">
        <f>IF(AND(J54&lt;&gt;"FIXO",E54="Fornecimento de Equipamento"),"#"&amp;montDes(E54,G54,H54),montDes(E54,G54,H54))</f>
        <v>Acondicionamento - Chave de fenda leve e compacta para carga de baixo torque. Torque à direita. - FERR2000-05035_2340</v>
      </c>
      <c r="V54" t="str">
        <f t="shared" si="33"/>
        <v>FERR2000-05035_2340</v>
      </c>
      <c r="W54" t="str">
        <f t="shared" si="34"/>
        <v>UN</v>
      </c>
      <c r="X54" t="s">
        <v>673</v>
      </c>
      <c r="Y54">
        <f t="shared" si="35"/>
        <v>1</v>
      </c>
      <c r="Z54" s="19" t="s">
        <v>704</v>
      </c>
      <c r="AA54" t="str">
        <f t="shared" si="36"/>
        <v>Acondicionamento - Mecânica</v>
      </c>
      <c r="AB54" t="str">
        <f t="shared" si="37"/>
        <v>62151153</v>
      </c>
      <c r="AC54" t="str">
        <f>_xlfn.XLOOKUP(AA54,referencia!A:A,referencia!B:B,"Error",0,1)</f>
        <v>94002445</v>
      </c>
      <c r="AD54" t="str">
        <f t="shared" si="38"/>
        <v>2,00</v>
      </c>
      <c r="AE54" t="str">
        <f>IF(OR(E54 = "Fornecimento de Equipamento",E54 ="#Fornecimento de Equipamento"),codMateriais(C54,A54,Z54),"")</f>
        <v/>
      </c>
      <c r="AG54" t="str">
        <f t="shared" si="39"/>
        <v/>
      </c>
      <c r="AH54" t="str">
        <f t="shared" si="40"/>
        <v/>
      </c>
      <c r="AI54" t="str">
        <f t="shared" si="41"/>
        <v/>
      </c>
      <c r="AJ54" t="str">
        <f t="shared" si="42"/>
        <v/>
      </c>
      <c r="AK54">
        <f>IF(AND(E54 &lt;&gt; "*Supervisão*", E54 &lt;&gt; "Hookup Elétrico", E54 &lt;&gt; "Hookup Instrumentação", E54 &lt;&gt; "Hookup Tubulação"),VLOOKUP(AC54,referencia!$B$2:$C$29,2,FALSE),"")</f>
        <v>16.887</v>
      </c>
      <c r="AL54" t="str">
        <f t="shared" si="43"/>
        <v>62151153</v>
      </c>
      <c r="AM54">
        <f>IF(AND(E54 &lt;&gt; "*Supervisão*", E54 &lt;&gt; "Hookup Elétrico", E54 &lt;&gt; "Hookup Instrumentação", E54 &lt;&gt; "Hookup Tubulação"),IF(OR(E54 = "Fornecimento de Equipamento",E54 ="#Fornecimento de Equipamento"),AE54,VLOOKUP(AC54,referencia!$B$2:$D$29,3,FALSE)),"")</f>
        <v>23000007</v>
      </c>
      <c r="AN54">
        <f t="shared" si="24"/>
        <v>33.774000000000001</v>
      </c>
      <c r="AO54" t="str">
        <f>IF($E54 = "Preservação",VLOOKUP(AC54,referencia!$B$1:$G$29,6,FALSE),"")</f>
        <v/>
      </c>
      <c r="AP54" t="str">
        <f t="shared" si="44"/>
        <v/>
      </c>
      <c r="AQ54" t="str">
        <f>IF($E54 = "Preservação",VLOOKUP(AC54,referencia!$B$1:$F$29,5,FALSE),"")</f>
        <v/>
      </c>
      <c r="AR54" t="str">
        <f t="shared" si="45"/>
        <v/>
      </c>
      <c r="AS54">
        <f>VLOOKUP(AC54,referencia!$B$2:$E$29,4,FALSE)</f>
        <v>0.08</v>
      </c>
      <c r="AT54">
        <f t="shared" si="46"/>
        <v>36.475920000000002</v>
      </c>
      <c r="AU54">
        <f t="shared" si="47"/>
        <v>36.475920000000002</v>
      </c>
      <c r="AV54">
        <f t="shared" si="25"/>
        <v>48.12</v>
      </c>
      <c r="AW54">
        <f t="shared" si="48"/>
        <v>48.12</v>
      </c>
      <c r="AX54" t="str">
        <f t="shared" si="23"/>
        <v>Diferente</v>
      </c>
    </row>
    <row r="55" spans="1:50" x14ac:dyDescent="0.25">
      <c r="A55" t="s">
        <v>565</v>
      </c>
      <c r="B55" t="s">
        <v>566</v>
      </c>
      <c r="C55">
        <v>2000</v>
      </c>
      <c r="D55">
        <v>2340</v>
      </c>
      <c r="E55" t="s">
        <v>543</v>
      </c>
      <c r="F55" t="s">
        <v>478</v>
      </c>
      <c r="G55" t="s">
        <v>602</v>
      </c>
      <c r="H55" t="s">
        <v>603</v>
      </c>
      <c r="I55">
        <v>1</v>
      </c>
      <c r="J55" t="s">
        <v>549</v>
      </c>
      <c r="K55" t="s">
        <v>648</v>
      </c>
      <c r="L55" t="s">
        <v>650</v>
      </c>
      <c r="M55" s="18" t="str">
        <f t="shared" si="26"/>
        <v>022340031FERR2000-05037_2340</v>
      </c>
      <c r="N55" s="18" t="str">
        <f t="shared" si="27"/>
        <v>OCC</v>
      </c>
      <c r="O55" s="18" t="str">
        <f t="shared" si="28"/>
        <v>OCC2340</v>
      </c>
      <c r="P55" s="18" t="str">
        <f t="shared" si="29"/>
        <v>OCC2340Mecânica</v>
      </c>
      <c r="Q55" s="18" t="str">
        <f t="shared" si="30"/>
        <v>OCC2340MecânicaAcondicionamento</v>
      </c>
      <c r="R55" s="19" t="s">
        <v>660</v>
      </c>
      <c r="S55" s="18">
        <f t="shared" si="31"/>
        <v>3</v>
      </c>
      <c r="T55" s="18" t="str">
        <f t="shared" si="32"/>
        <v>EBN.OCC.2340.INM-01-0310</v>
      </c>
      <c r="U55" s="18" t="str">
        <f>IF(AND(J55&lt;&gt;"FIXO",E55="Fornecimento de Equipamento"),"#"&amp;montDes(E55,G55,H55),montDes(E55,G55,H55))</f>
        <v>Acondicionamento - Jogo de soquetes com bit hexagonal, encaixe 1/4" com as seguintes medidas (5, 6, 7, 8, 10, 12, 14, 17 e 19 mm) - FERR2000-05037_2340</v>
      </c>
      <c r="V55" t="str">
        <f t="shared" si="33"/>
        <v>FERR2000-05037_2340</v>
      </c>
      <c r="W55" t="str">
        <f t="shared" si="34"/>
        <v>UN</v>
      </c>
      <c r="X55" t="s">
        <v>673</v>
      </c>
      <c r="Y55">
        <f t="shared" si="35"/>
        <v>1</v>
      </c>
      <c r="Z55" s="19" t="s">
        <v>705</v>
      </c>
      <c r="AA55" t="str">
        <f t="shared" si="36"/>
        <v>Acondicionamento - Mecânica</v>
      </c>
      <c r="AB55" t="str">
        <f t="shared" si="37"/>
        <v>62151154</v>
      </c>
      <c r="AC55" t="str">
        <f>_xlfn.XLOOKUP(AA55,referencia!A:A,referencia!B:B,"Error",0,1)</f>
        <v>94002445</v>
      </c>
      <c r="AD55" t="str">
        <f t="shared" si="38"/>
        <v>2,00</v>
      </c>
      <c r="AE55" t="str">
        <f>IF(OR(E55 = "Fornecimento de Equipamento",E55 ="#Fornecimento de Equipamento"),codMateriais(C55,A55,Z55),"")</f>
        <v/>
      </c>
      <c r="AG55" t="str">
        <f t="shared" si="39"/>
        <v/>
      </c>
      <c r="AH55" t="str">
        <f t="shared" si="40"/>
        <v/>
      </c>
      <c r="AI55" t="str">
        <f t="shared" si="41"/>
        <v/>
      </c>
      <c r="AJ55" t="str">
        <f t="shared" si="42"/>
        <v/>
      </c>
      <c r="AK55">
        <f>IF(AND(E55 &lt;&gt; "*Supervisão*", E55 &lt;&gt; "Hookup Elétrico", E55 &lt;&gt; "Hookup Instrumentação", E55 &lt;&gt; "Hookup Tubulação"),VLOOKUP(AC55,referencia!$B$2:$C$29,2,FALSE),"")</f>
        <v>16.887</v>
      </c>
      <c r="AL55" t="str">
        <f t="shared" si="43"/>
        <v>62151154</v>
      </c>
      <c r="AM55">
        <f>IF(AND(E55 &lt;&gt; "*Supervisão*", E55 &lt;&gt; "Hookup Elétrico", E55 &lt;&gt; "Hookup Instrumentação", E55 &lt;&gt; "Hookup Tubulação"),IF(OR(E55 = "Fornecimento de Equipamento",E55 ="#Fornecimento de Equipamento"),AE55,VLOOKUP(AC55,referencia!$B$2:$D$29,3,FALSE)),"")</f>
        <v>23000007</v>
      </c>
      <c r="AN55">
        <f t="shared" si="24"/>
        <v>33.774000000000001</v>
      </c>
      <c r="AO55" t="str">
        <f>IF($E55 = "Preservação",VLOOKUP(AC55,referencia!$B$1:$G$29,6,FALSE),"")</f>
        <v/>
      </c>
      <c r="AP55" t="str">
        <f t="shared" si="44"/>
        <v/>
      </c>
      <c r="AQ55" t="str">
        <f>IF($E55 = "Preservação",VLOOKUP(AC55,referencia!$B$1:$F$29,5,FALSE),"")</f>
        <v/>
      </c>
      <c r="AR55" t="str">
        <f t="shared" si="45"/>
        <v/>
      </c>
      <c r="AS55">
        <f>VLOOKUP(AC55,referencia!$B$2:$E$29,4,FALSE)</f>
        <v>0.08</v>
      </c>
      <c r="AT55">
        <f t="shared" si="46"/>
        <v>36.475920000000002</v>
      </c>
      <c r="AU55">
        <f t="shared" si="47"/>
        <v>36.475920000000002</v>
      </c>
      <c r="AV55">
        <f t="shared" si="25"/>
        <v>48.12</v>
      </c>
      <c r="AW55">
        <f t="shared" si="48"/>
        <v>48.12</v>
      </c>
      <c r="AX55" t="str">
        <f t="shared" si="23"/>
        <v>Diferente</v>
      </c>
    </row>
    <row r="56" spans="1:50" x14ac:dyDescent="0.25">
      <c r="A56" t="s">
        <v>565</v>
      </c>
      <c r="B56" t="s">
        <v>566</v>
      </c>
      <c r="C56">
        <v>2000</v>
      </c>
      <c r="D56">
        <v>2340</v>
      </c>
      <c r="E56" t="s">
        <v>543</v>
      </c>
      <c r="F56" t="s">
        <v>478</v>
      </c>
      <c r="G56" t="s">
        <v>606</v>
      </c>
      <c r="H56" t="s">
        <v>607</v>
      </c>
      <c r="I56">
        <v>1</v>
      </c>
      <c r="J56" t="s">
        <v>549</v>
      </c>
      <c r="K56" t="s">
        <v>648</v>
      </c>
      <c r="L56" t="s">
        <v>650</v>
      </c>
      <c r="M56" s="18" t="str">
        <f t="shared" si="26"/>
        <v>022340031FERR2000-05038_2340</v>
      </c>
      <c r="N56" s="18" t="str">
        <f t="shared" si="27"/>
        <v>OCC</v>
      </c>
      <c r="O56" s="18" t="str">
        <f t="shared" si="28"/>
        <v>OCC2340</v>
      </c>
      <c r="P56" s="18" t="str">
        <f t="shared" si="29"/>
        <v>OCC2340Mecânica</v>
      </c>
      <c r="Q56" s="18" t="str">
        <f t="shared" si="30"/>
        <v>OCC2340MecânicaAcondicionamento</v>
      </c>
      <c r="R56" s="19" t="s">
        <v>661</v>
      </c>
      <c r="S56" s="18">
        <f t="shared" si="31"/>
        <v>3</v>
      </c>
      <c r="T56" s="18" t="str">
        <f t="shared" si="32"/>
        <v>EBN.OCC.2340.INM-01-0311</v>
      </c>
      <c r="U56" s="18" t="str">
        <f>IF(AND(J56&lt;&gt;"FIXO",E56="Fornecimento de Equipamento"),"#"&amp;montDes(E56,G56,H56),montDes(E56,G56,H56))</f>
        <v>Acondicionamento - Ponta de chave de fenda, torx T6, encaixe sextavado 1/4", comprimento total 150mm. - FERR2000-05038_2340</v>
      </c>
      <c r="V56" t="str">
        <f t="shared" si="33"/>
        <v>FERR2000-05038_2340</v>
      </c>
      <c r="W56" t="str">
        <f t="shared" si="34"/>
        <v>UN</v>
      </c>
      <c r="X56" t="s">
        <v>673</v>
      </c>
      <c r="Y56">
        <f t="shared" si="35"/>
        <v>1</v>
      </c>
      <c r="Z56" s="19" t="s">
        <v>706</v>
      </c>
      <c r="AA56" t="str">
        <f t="shared" si="36"/>
        <v>Acondicionamento - Mecânica</v>
      </c>
      <c r="AB56" t="str">
        <f t="shared" si="37"/>
        <v>62151155</v>
      </c>
      <c r="AC56" t="str">
        <f>_xlfn.XLOOKUP(AA56,referencia!A:A,referencia!B:B,"Error",0,1)</f>
        <v>94002445</v>
      </c>
      <c r="AD56" t="str">
        <f t="shared" si="38"/>
        <v>2,00</v>
      </c>
      <c r="AE56" t="str">
        <f>IF(OR(E56 = "Fornecimento de Equipamento",E56 ="#Fornecimento de Equipamento"),codMateriais(C56,A56,Z56),"")</f>
        <v/>
      </c>
      <c r="AG56" t="str">
        <f t="shared" si="39"/>
        <v/>
      </c>
      <c r="AH56" t="str">
        <f t="shared" si="40"/>
        <v/>
      </c>
      <c r="AI56" t="str">
        <f t="shared" si="41"/>
        <v/>
      </c>
      <c r="AJ56" t="str">
        <f t="shared" si="42"/>
        <v/>
      </c>
      <c r="AK56">
        <f>IF(AND(E56 &lt;&gt; "*Supervisão*", E56 &lt;&gt; "Hookup Elétrico", E56 &lt;&gt; "Hookup Instrumentação", E56 &lt;&gt; "Hookup Tubulação"),VLOOKUP(AC56,referencia!$B$2:$C$29,2,FALSE),"")</f>
        <v>16.887</v>
      </c>
      <c r="AL56" t="str">
        <f t="shared" si="43"/>
        <v>62151155</v>
      </c>
      <c r="AM56">
        <f>IF(AND(E56 &lt;&gt; "*Supervisão*", E56 &lt;&gt; "Hookup Elétrico", E56 &lt;&gt; "Hookup Instrumentação", E56 &lt;&gt; "Hookup Tubulação"),IF(OR(E56 = "Fornecimento de Equipamento",E56 ="#Fornecimento de Equipamento"),AE56,VLOOKUP(AC56,referencia!$B$2:$D$29,3,FALSE)),"")</f>
        <v>23000007</v>
      </c>
      <c r="AN56">
        <f t="shared" si="24"/>
        <v>33.774000000000001</v>
      </c>
      <c r="AO56" t="str">
        <f>IF($E56 = "Preservação",VLOOKUP(AC56,referencia!$B$1:$G$29,6,FALSE),"")</f>
        <v/>
      </c>
      <c r="AP56" t="str">
        <f t="shared" si="44"/>
        <v/>
      </c>
      <c r="AQ56" t="str">
        <f>IF($E56 = "Preservação",VLOOKUP(AC56,referencia!$B$1:$F$29,5,FALSE),"")</f>
        <v/>
      </c>
      <c r="AR56" t="str">
        <f t="shared" si="45"/>
        <v/>
      </c>
      <c r="AS56">
        <f>VLOOKUP(AC56,referencia!$B$2:$E$29,4,FALSE)</f>
        <v>0.08</v>
      </c>
      <c r="AT56">
        <f t="shared" si="46"/>
        <v>36.475920000000002</v>
      </c>
      <c r="AU56">
        <f t="shared" si="47"/>
        <v>36.475920000000002</v>
      </c>
      <c r="AV56">
        <f t="shared" si="25"/>
        <v>48.12</v>
      </c>
      <c r="AW56">
        <f t="shared" si="48"/>
        <v>48.12</v>
      </c>
      <c r="AX56" t="str">
        <f t="shared" si="23"/>
        <v>Diferente</v>
      </c>
    </row>
    <row r="57" spans="1:50" x14ac:dyDescent="0.25">
      <c r="A57" t="s">
        <v>565</v>
      </c>
      <c r="B57" t="s">
        <v>566</v>
      </c>
      <c r="C57">
        <v>2000</v>
      </c>
      <c r="D57">
        <v>2340</v>
      </c>
      <c r="E57" t="s">
        <v>543</v>
      </c>
      <c r="F57" t="s">
        <v>478</v>
      </c>
      <c r="G57" t="s">
        <v>610</v>
      </c>
      <c r="H57" t="s">
        <v>611</v>
      </c>
      <c r="I57">
        <v>1</v>
      </c>
      <c r="J57" t="s">
        <v>549</v>
      </c>
      <c r="K57" t="s">
        <v>648</v>
      </c>
      <c r="L57" t="s">
        <v>650</v>
      </c>
      <c r="M57" s="18" t="str">
        <f t="shared" si="26"/>
        <v>022340031FERR2000-05039_2340</v>
      </c>
      <c r="N57" s="18" t="str">
        <f t="shared" si="27"/>
        <v>OCC</v>
      </c>
      <c r="O57" s="18" t="str">
        <f t="shared" si="28"/>
        <v>OCC2340</v>
      </c>
      <c r="P57" s="18" t="str">
        <f t="shared" si="29"/>
        <v>OCC2340Mecânica</v>
      </c>
      <c r="Q57" s="18" t="str">
        <f t="shared" si="30"/>
        <v>OCC2340MecânicaAcondicionamento</v>
      </c>
      <c r="R57" s="19" t="s">
        <v>662</v>
      </c>
      <c r="S57" s="18">
        <f t="shared" si="31"/>
        <v>3</v>
      </c>
      <c r="T57" s="18" t="str">
        <f t="shared" si="32"/>
        <v>EBN.OCC.2340.INM-01-0312</v>
      </c>
      <c r="U57" s="18" t="str">
        <f>IF(AND(J57&lt;&gt;"FIXO",E57="Fornecimento de Equipamento"),"#"&amp;montDes(E57,G57,H57),montDes(E57,G57,H57))</f>
        <v>Acondicionamento - Ponta de chave de fenda, torx T8, encaixe sextavado 1/4", comprimento total 150mm - FERR2000-05039_2340</v>
      </c>
      <c r="V57" t="str">
        <f t="shared" si="33"/>
        <v>FERR2000-05039_2340</v>
      </c>
      <c r="W57" t="str">
        <f t="shared" si="34"/>
        <v>UN</v>
      </c>
      <c r="X57" t="s">
        <v>673</v>
      </c>
      <c r="Y57">
        <f t="shared" si="35"/>
        <v>1</v>
      </c>
      <c r="Z57" s="19" t="s">
        <v>707</v>
      </c>
      <c r="AA57" t="str">
        <f t="shared" si="36"/>
        <v>Acondicionamento - Mecânica</v>
      </c>
      <c r="AB57" t="str">
        <f t="shared" si="37"/>
        <v>62151156</v>
      </c>
      <c r="AC57" t="str">
        <f>_xlfn.XLOOKUP(AA57,referencia!A:A,referencia!B:B,"Error",0,1)</f>
        <v>94002445</v>
      </c>
      <c r="AD57" t="str">
        <f t="shared" si="38"/>
        <v>2,00</v>
      </c>
      <c r="AE57" t="str">
        <f>IF(OR(E57 = "Fornecimento de Equipamento",E57 ="#Fornecimento de Equipamento"),codMateriais(C57,A57,Z57),"")</f>
        <v/>
      </c>
      <c r="AG57" t="str">
        <f t="shared" si="39"/>
        <v/>
      </c>
      <c r="AH57" t="str">
        <f t="shared" si="40"/>
        <v/>
      </c>
      <c r="AI57" t="str">
        <f t="shared" si="41"/>
        <v/>
      </c>
      <c r="AJ57" t="str">
        <f t="shared" si="42"/>
        <v/>
      </c>
      <c r="AK57">
        <f>IF(AND(E57 &lt;&gt; "*Supervisão*", E57 &lt;&gt; "Hookup Elétrico", E57 &lt;&gt; "Hookup Instrumentação", E57 &lt;&gt; "Hookup Tubulação"),VLOOKUP(AC57,referencia!$B$2:$C$29,2,FALSE),"")</f>
        <v>16.887</v>
      </c>
      <c r="AL57" t="str">
        <f t="shared" si="43"/>
        <v>62151156</v>
      </c>
      <c r="AM57">
        <f>IF(AND(E57 &lt;&gt; "*Supervisão*", E57 &lt;&gt; "Hookup Elétrico", E57 &lt;&gt; "Hookup Instrumentação", E57 &lt;&gt; "Hookup Tubulação"),IF(OR(E57 = "Fornecimento de Equipamento",E57 ="#Fornecimento de Equipamento"),AE57,VLOOKUP(AC57,referencia!$B$2:$D$29,3,FALSE)),"")</f>
        <v>23000007</v>
      </c>
      <c r="AN57">
        <f t="shared" si="24"/>
        <v>33.774000000000001</v>
      </c>
      <c r="AO57" t="str">
        <f>IF($E57 = "Preservação",VLOOKUP(AC57,referencia!$B$1:$G$29,6,FALSE),"")</f>
        <v/>
      </c>
      <c r="AP57" t="str">
        <f t="shared" si="44"/>
        <v/>
      </c>
      <c r="AQ57" t="str">
        <f>IF($E57 = "Preservação",VLOOKUP(AC57,referencia!$B$1:$F$29,5,FALSE),"")</f>
        <v/>
      </c>
      <c r="AR57" t="str">
        <f t="shared" si="45"/>
        <v/>
      </c>
      <c r="AS57">
        <f>VLOOKUP(AC57,referencia!$B$2:$E$29,4,FALSE)</f>
        <v>0.08</v>
      </c>
      <c r="AT57">
        <f t="shared" si="46"/>
        <v>36.475920000000002</v>
      </c>
      <c r="AU57">
        <f t="shared" si="47"/>
        <v>36.475920000000002</v>
      </c>
      <c r="AV57">
        <f t="shared" si="25"/>
        <v>48.12</v>
      </c>
      <c r="AW57">
        <f t="shared" si="48"/>
        <v>48.12</v>
      </c>
      <c r="AX57" t="str">
        <f t="shared" si="23"/>
        <v>Diferente</v>
      </c>
    </row>
    <row r="58" spans="1:50" x14ac:dyDescent="0.25">
      <c r="A58" t="s">
        <v>565</v>
      </c>
      <c r="B58" t="s">
        <v>566</v>
      </c>
      <c r="C58">
        <v>2000</v>
      </c>
      <c r="D58">
        <v>2340</v>
      </c>
      <c r="E58" t="s">
        <v>543</v>
      </c>
      <c r="F58" t="s">
        <v>478</v>
      </c>
      <c r="G58" t="s">
        <v>614</v>
      </c>
      <c r="H58" t="s">
        <v>615</v>
      </c>
      <c r="I58">
        <v>1</v>
      </c>
      <c r="J58" t="s">
        <v>549</v>
      </c>
      <c r="K58" t="s">
        <v>648</v>
      </c>
      <c r="L58" t="s">
        <v>650</v>
      </c>
      <c r="M58" s="18" t="str">
        <f t="shared" si="26"/>
        <v>022340031FERR2000-05040_2340</v>
      </c>
      <c r="N58" s="18" t="str">
        <f t="shared" si="27"/>
        <v>OCC</v>
      </c>
      <c r="O58" s="18" t="str">
        <f t="shared" si="28"/>
        <v>OCC2340</v>
      </c>
      <c r="P58" s="18" t="str">
        <f t="shared" si="29"/>
        <v>OCC2340Mecânica</v>
      </c>
      <c r="Q58" s="18" t="str">
        <f t="shared" si="30"/>
        <v>OCC2340MecânicaAcondicionamento</v>
      </c>
      <c r="R58" s="19" t="s">
        <v>663</v>
      </c>
      <c r="S58" s="18">
        <f t="shared" si="31"/>
        <v>3</v>
      </c>
      <c r="T58" s="18" t="str">
        <f t="shared" si="32"/>
        <v>EBN.OCC.2340.INM-01-0313</v>
      </c>
      <c r="U58" s="18" t="str">
        <f>IF(AND(J58&lt;&gt;"FIXO",E58="Fornecimento de Equipamento"),"#"&amp;montDes(E58,G58,H58),montDes(E58,G58,H58))</f>
        <v>Acondicionamento - Ponta de chave de fenda, torx T9, encaixe sextavado 1/4", comprimento total 150mm - FERR2000-05040_2340</v>
      </c>
      <c r="V58" t="str">
        <f t="shared" si="33"/>
        <v>FERR2000-05040_2340</v>
      </c>
      <c r="W58" t="str">
        <f t="shared" si="34"/>
        <v>UN</v>
      </c>
      <c r="X58" t="s">
        <v>673</v>
      </c>
      <c r="Y58">
        <f t="shared" si="35"/>
        <v>1</v>
      </c>
      <c r="Z58" s="19" t="s">
        <v>708</v>
      </c>
      <c r="AA58" t="str">
        <f t="shared" si="36"/>
        <v>Acondicionamento - Mecânica</v>
      </c>
      <c r="AB58" t="str">
        <f t="shared" si="37"/>
        <v>62151157</v>
      </c>
      <c r="AC58" t="str">
        <f>_xlfn.XLOOKUP(AA58,referencia!A:A,referencia!B:B,"Error",0,1)</f>
        <v>94002445</v>
      </c>
      <c r="AD58" t="str">
        <f t="shared" si="38"/>
        <v>2,00</v>
      </c>
      <c r="AE58" t="str">
        <f>IF(OR(E58 = "Fornecimento de Equipamento",E58 ="#Fornecimento de Equipamento"),codMateriais(C58,A58,Z58),"")</f>
        <v/>
      </c>
      <c r="AG58" t="str">
        <f t="shared" si="39"/>
        <v/>
      </c>
      <c r="AH58" t="str">
        <f t="shared" si="40"/>
        <v/>
      </c>
      <c r="AI58" t="str">
        <f t="shared" si="41"/>
        <v/>
      </c>
      <c r="AJ58" t="str">
        <f t="shared" si="42"/>
        <v/>
      </c>
      <c r="AK58">
        <f>IF(AND(E58 &lt;&gt; "*Supervisão*", E58 &lt;&gt; "Hookup Elétrico", E58 &lt;&gt; "Hookup Instrumentação", E58 &lt;&gt; "Hookup Tubulação"),VLOOKUP(AC58,referencia!$B$2:$C$29,2,FALSE),"")</f>
        <v>16.887</v>
      </c>
      <c r="AL58" t="str">
        <f t="shared" si="43"/>
        <v>62151157</v>
      </c>
      <c r="AM58">
        <f>IF(AND(E58 &lt;&gt; "*Supervisão*", E58 &lt;&gt; "Hookup Elétrico", E58 &lt;&gt; "Hookup Instrumentação", E58 &lt;&gt; "Hookup Tubulação"),IF(OR(E58 = "Fornecimento de Equipamento",E58 ="#Fornecimento de Equipamento"),AE58,VLOOKUP(AC58,referencia!$B$2:$D$29,3,FALSE)),"")</f>
        <v>23000007</v>
      </c>
      <c r="AN58">
        <f t="shared" si="24"/>
        <v>33.774000000000001</v>
      </c>
      <c r="AO58" t="str">
        <f>IF($E58 = "Preservação",VLOOKUP(AC58,referencia!$B$1:$G$29,6,FALSE),"")</f>
        <v/>
      </c>
      <c r="AP58" t="str">
        <f t="shared" si="44"/>
        <v/>
      </c>
      <c r="AQ58" t="str">
        <f>IF($E58 = "Preservação",VLOOKUP(AC58,referencia!$B$1:$F$29,5,FALSE),"")</f>
        <v/>
      </c>
      <c r="AR58" t="str">
        <f t="shared" si="45"/>
        <v/>
      </c>
      <c r="AS58">
        <f>VLOOKUP(AC58,referencia!$B$2:$E$29,4,FALSE)</f>
        <v>0.08</v>
      </c>
      <c r="AT58">
        <f t="shared" si="46"/>
        <v>36.475920000000002</v>
      </c>
      <c r="AU58">
        <f t="shared" si="47"/>
        <v>36.475920000000002</v>
      </c>
      <c r="AV58">
        <f t="shared" si="25"/>
        <v>48.12</v>
      </c>
      <c r="AW58">
        <f t="shared" si="48"/>
        <v>48.12</v>
      </c>
      <c r="AX58" t="str">
        <f t="shared" si="23"/>
        <v>Diferente</v>
      </c>
    </row>
    <row r="59" spans="1:50" x14ac:dyDescent="0.25">
      <c r="A59" t="s">
        <v>565</v>
      </c>
      <c r="B59" t="s">
        <v>566</v>
      </c>
      <c r="C59">
        <v>2000</v>
      </c>
      <c r="D59">
        <v>2340</v>
      </c>
      <c r="E59" t="s">
        <v>543</v>
      </c>
      <c r="F59" t="s">
        <v>478</v>
      </c>
      <c r="G59" t="s">
        <v>616</v>
      </c>
      <c r="H59" t="s">
        <v>617</v>
      </c>
      <c r="I59">
        <v>1</v>
      </c>
      <c r="J59" t="s">
        <v>549</v>
      </c>
      <c r="K59" t="s">
        <v>648</v>
      </c>
      <c r="L59" t="s">
        <v>650</v>
      </c>
      <c r="M59" s="18" t="str">
        <f t="shared" si="26"/>
        <v>022340031FERR2000-05041_2340</v>
      </c>
      <c r="N59" s="18" t="str">
        <f t="shared" si="27"/>
        <v>OCC</v>
      </c>
      <c r="O59" s="18" t="str">
        <f t="shared" si="28"/>
        <v>OCC2340</v>
      </c>
      <c r="P59" s="18" t="str">
        <f t="shared" si="29"/>
        <v>OCC2340Mecânica</v>
      </c>
      <c r="Q59" s="18" t="str">
        <f t="shared" si="30"/>
        <v>OCC2340MecânicaAcondicionamento</v>
      </c>
      <c r="R59" s="19" t="s">
        <v>664</v>
      </c>
      <c r="S59" s="18">
        <f t="shared" si="31"/>
        <v>3</v>
      </c>
      <c r="T59" s="18" t="str">
        <f t="shared" si="32"/>
        <v>EBN.OCC.2340.INM-01-0314</v>
      </c>
      <c r="U59" s="18" t="str">
        <f>IF(AND(J59&lt;&gt;"FIXO",E59="Fornecimento de Equipamento"),"#"&amp;montDes(E59,G59,H59),montDes(E59,G59,H59))</f>
        <v>Acondicionamento - Ponta de chave de fenda, torx T10, encaixe sextavado 1/4", comprimento total 150mm - FERR2000-05041_2340</v>
      </c>
      <c r="V59" t="str">
        <f t="shared" si="33"/>
        <v>FERR2000-05041_2340</v>
      </c>
      <c r="W59" t="str">
        <f t="shared" si="34"/>
        <v>UN</v>
      </c>
      <c r="X59" t="s">
        <v>673</v>
      </c>
      <c r="Y59">
        <f t="shared" si="35"/>
        <v>1</v>
      </c>
      <c r="Z59" s="19" t="s">
        <v>709</v>
      </c>
      <c r="AA59" t="str">
        <f t="shared" si="36"/>
        <v>Acondicionamento - Mecânica</v>
      </c>
      <c r="AB59" t="str">
        <f t="shared" si="37"/>
        <v>62151158</v>
      </c>
      <c r="AC59" t="str">
        <f>_xlfn.XLOOKUP(AA59,referencia!A:A,referencia!B:B,"Error",0,1)</f>
        <v>94002445</v>
      </c>
      <c r="AD59" t="str">
        <f t="shared" si="38"/>
        <v>2,00</v>
      </c>
      <c r="AE59" t="str">
        <f>IF(OR(E59 = "Fornecimento de Equipamento",E59 ="#Fornecimento de Equipamento"),codMateriais(C59,A59,Z59),"")</f>
        <v/>
      </c>
      <c r="AG59" t="str">
        <f t="shared" si="39"/>
        <v/>
      </c>
      <c r="AH59" t="str">
        <f t="shared" si="40"/>
        <v/>
      </c>
      <c r="AI59" t="str">
        <f t="shared" si="41"/>
        <v/>
      </c>
      <c r="AJ59" t="str">
        <f t="shared" si="42"/>
        <v/>
      </c>
      <c r="AK59">
        <f>IF(AND(E59 &lt;&gt; "*Supervisão*", E59 &lt;&gt; "Hookup Elétrico", E59 &lt;&gt; "Hookup Instrumentação", E59 &lt;&gt; "Hookup Tubulação"),VLOOKUP(AC59,referencia!$B$2:$C$29,2,FALSE),"")</f>
        <v>16.887</v>
      </c>
      <c r="AL59" t="str">
        <f t="shared" si="43"/>
        <v>62151158</v>
      </c>
      <c r="AM59">
        <f>IF(AND(E59 &lt;&gt; "*Supervisão*", E59 &lt;&gt; "Hookup Elétrico", E59 &lt;&gt; "Hookup Instrumentação", E59 &lt;&gt; "Hookup Tubulação"),IF(OR(E59 = "Fornecimento de Equipamento",E59 ="#Fornecimento de Equipamento"),AE59,VLOOKUP(AC59,referencia!$B$2:$D$29,3,FALSE)),"")</f>
        <v>23000007</v>
      </c>
      <c r="AN59">
        <f t="shared" si="24"/>
        <v>33.774000000000001</v>
      </c>
      <c r="AO59" t="str">
        <f>IF($E59 = "Preservação",VLOOKUP(AC59,referencia!$B$1:$G$29,6,FALSE),"")</f>
        <v/>
      </c>
      <c r="AP59" t="str">
        <f t="shared" si="44"/>
        <v/>
      </c>
      <c r="AQ59" t="str">
        <f>IF($E59 = "Preservação",VLOOKUP(AC59,referencia!$B$1:$F$29,5,FALSE),"")</f>
        <v/>
      </c>
      <c r="AR59" t="str">
        <f t="shared" si="45"/>
        <v/>
      </c>
      <c r="AS59">
        <f>VLOOKUP(AC59,referencia!$B$2:$E$29,4,FALSE)</f>
        <v>0.08</v>
      </c>
      <c r="AT59">
        <f t="shared" si="46"/>
        <v>36.475920000000002</v>
      </c>
      <c r="AU59">
        <f t="shared" si="47"/>
        <v>36.475920000000002</v>
      </c>
      <c r="AV59">
        <f t="shared" si="25"/>
        <v>48.12</v>
      </c>
      <c r="AW59">
        <f t="shared" si="48"/>
        <v>48.12</v>
      </c>
      <c r="AX59" t="str">
        <f t="shared" si="23"/>
        <v>Diferente</v>
      </c>
    </row>
    <row r="60" spans="1:50" x14ac:dyDescent="0.25">
      <c r="A60" t="s">
        <v>565</v>
      </c>
      <c r="B60" t="s">
        <v>566</v>
      </c>
      <c r="C60">
        <v>2000</v>
      </c>
      <c r="D60">
        <v>2340</v>
      </c>
      <c r="E60" t="s">
        <v>543</v>
      </c>
      <c r="F60" t="s">
        <v>478</v>
      </c>
      <c r="G60" t="s">
        <v>618</v>
      </c>
      <c r="H60" t="s">
        <v>619</v>
      </c>
      <c r="I60">
        <v>1</v>
      </c>
      <c r="J60" t="s">
        <v>549</v>
      </c>
      <c r="K60" t="s">
        <v>648</v>
      </c>
      <c r="L60" t="s">
        <v>650</v>
      </c>
      <c r="M60" s="18" t="str">
        <f t="shared" si="26"/>
        <v>022340031FERR2000-05042_2340</v>
      </c>
      <c r="N60" s="18" t="str">
        <f t="shared" si="27"/>
        <v>OCC</v>
      </c>
      <c r="O60" s="18" t="str">
        <f t="shared" si="28"/>
        <v>OCC2340</v>
      </c>
      <c r="P60" s="18" t="str">
        <f t="shared" si="29"/>
        <v>OCC2340Mecânica</v>
      </c>
      <c r="Q60" s="18" t="str">
        <f t="shared" si="30"/>
        <v>OCC2340MecânicaAcondicionamento</v>
      </c>
      <c r="R60" s="19" t="s">
        <v>665</v>
      </c>
      <c r="S60" s="18">
        <f t="shared" si="31"/>
        <v>3</v>
      </c>
      <c r="T60" s="18" t="str">
        <f t="shared" si="32"/>
        <v>EBN.OCC.2340.INM-01-0315</v>
      </c>
      <c r="U60" s="18" t="str">
        <f>IF(AND(J60&lt;&gt;"FIXO",E60="Fornecimento de Equipamento"),"#"&amp;montDes(E60,G60,H60),montDes(E60,G60,H60))</f>
        <v>Acondicionamento - Ponta de chave de fenda, torx T20, encaixe sextavado 1/4", comprimento total 150mm - FERR2000-05042_2340</v>
      </c>
      <c r="V60" t="str">
        <f t="shared" si="33"/>
        <v>FERR2000-05042_2340</v>
      </c>
      <c r="W60" t="str">
        <f t="shared" si="34"/>
        <v>UN</v>
      </c>
      <c r="X60" t="s">
        <v>673</v>
      </c>
      <c r="Y60">
        <f t="shared" si="35"/>
        <v>1</v>
      </c>
      <c r="Z60" s="19" t="s">
        <v>710</v>
      </c>
      <c r="AA60" t="str">
        <f t="shared" si="36"/>
        <v>Acondicionamento - Mecânica</v>
      </c>
      <c r="AB60" t="str">
        <f t="shared" si="37"/>
        <v>62151159</v>
      </c>
      <c r="AC60" t="str">
        <f>_xlfn.XLOOKUP(AA60,referencia!A:A,referencia!B:B,"Error",0,1)</f>
        <v>94002445</v>
      </c>
      <c r="AD60" t="str">
        <f t="shared" si="38"/>
        <v>2,00</v>
      </c>
      <c r="AE60" t="str">
        <f>IF(OR(E60 = "Fornecimento de Equipamento",E60 ="#Fornecimento de Equipamento"),codMateriais(C60,A60,Z60),"")</f>
        <v/>
      </c>
      <c r="AG60" t="str">
        <f t="shared" si="39"/>
        <v/>
      </c>
      <c r="AH60" t="str">
        <f t="shared" si="40"/>
        <v/>
      </c>
      <c r="AI60" t="str">
        <f t="shared" si="41"/>
        <v/>
      </c>
      <c r="AJ60" t="str">
        <f t="shared" si="42"/>
        <v/>
      </c>
      <c r="AK60">
        <f>IF(AND(E60 &lt;&gt; "*Supervisão*", E60 &lt;&gt; "Hookup Elétrico", E60 &lt;&gt; "Hookup Instrumentação", E60 &lt;&gt; "Hookup Tubulação"),VLOOKUP(AC60,referencia!$B$2:$C$29,2,FALSE),"")</f>
        <v>16.887</v>
      </c>
      <c r="AL60" t="str">
        <f t="shared" si="43"/>
        <v>62151159</v>
      </c>
      <c r="AM60">
        <f>IF(AND(E60 &lt;&gt; "*Supervisão*", E60 &lt;&gt; "Hookup Elétrico", E60 &lt;&gt; "Hookup Instrumentação", E60 &lt;&gt; "Hookup Tubulação"),IF(OR(E60 = "Fornecimento de Equipamento",E60 ="#Fornecimento de Equipamento"),AE60,VLOOKUP(AC60,referencia!$B$2:$D$29,3,FALSE)),"")</f>
        <v>23000007</v>
      </c>
      <c r="AN60">
        <f t="shared" si="24"/>
        <v>33.774000000000001</v>
      </c>
      <c r="AO60" t="str">
        <f>IF($E60 = "Preservação",VLOOKUP(AC60,referencia!$B$1:$G$29,6,FALSE),"")</f>
        <v/>
      </c>
      <c r="AP60" t="str">
        <f t="shared" si="44"/>
        <v/>
      </c>
      <c r="AQ60" t="str">
        <f>IF($E60 = "Preservação",VLOOKUP(AC60,referencia!$B$1:$F$29,5,FALSE),"")</f>
        <v/>
      </c>
      <c r="AR60" t="str">
        <f t="shared" si="45"/>
        <v/>
      </c>
      <c r="AS60">
        <f>VLOOKUP(AC60,referencia!$B$2:$E$29,4,FALSE)</f>
        <v>0.08</v>
      </c>
      <c r="AT60">
        <f t="shared" si="46"/>
        <v>36.475920000000002</v>
      </c>
      <c r="AU60">
        <f t="shared" si="47"/>
        <v>36.475920000000002</v>
      </c>
      <c r="AV60">
        <f t="shared" si="25"/>
        <v>48.12</v>
      </c>
      <c r="AW60">
        <f t="shared" si="48"/>
        <v>48.12</v>
      </c>
      <c r="AX60" t="str">
        <f t="shared" si="23"/>
        <v>Diferente</v>
      </c>
    </row>
    <row r="61" spans="1:50" x14ac:dyDescent="0.25">
      <c r="A61" t="s">
        <v>565</v>
      </c>
      <c r="B61" t="s">
        <v>566</v>
      </c>
      <c r="C61">
        <v>2000</v>
      </c>
      <c r="D61">
        <v>2340</v>
      </c>
      <c r="E61" t="s">
        <v>543</v>
      </c>
      <c r="F61" t="s">
        <v>478</v>
      </c>
      <c r="G61" t="s">
        <v>620</v>
      </c>
      <c r="H61" t="s">
        <v>621</v>
      </c>
      <c r="I61">
        <v>1</v>
      </c>
      <c r="J61" t="s">
        <v>549</v>
      </c>
      <c r="K61" t="s">
        <v>648</v>
      </c>
      <c r="L61" t="s">
        <v>650</v>
      </c>
      <c r="M61" s="18" t="str">
        <f t="shared" si="26"/>
        <v>022340031FERR2000-05044_2340</v>
      </c>
      <c r="N61" s="18" t="str">
        <f t="shared" si="27"/>
        <v>OCC</v>
      </c>
      <c r="O61" s="18" t="str">
        <f t="shared" si="28"/>
        <v>OCC2340</v>
      </c>
      <c r="P61" s="18" t="str">
        <f t="shared" si="29"/>
        <v>OCC2340Mecânica</v>
      </c>
      <c r="Q61" s="18" t="str">
        <f t="shared" si="30"/>
        <v>OCC2340MecânicaAcondicionamento</v>
      </c>
      <c r="R61" s="19" t="s">
        <v>666</v>
      </c>
      <c r="S61" s="18">
        <f t="shared" si="31"/>
        <v>3</v>
      </c>
      <c r="T61" s="18" t="str">
        <f t="shared" si="32"/>
        <v>EBN.OCC.2340.INM-01-0316</v>
      </c>
      <c r="U61" s="18" t="str">
        <f>IF(AND(J61&lt;&gt;"FIXO",E61="Fornecimento de Equipamento"),"#"&amp;montDes(E61,G61,H61),montDes(E61,G61,H61))</f>
        <v>Acondicionamento - Estilete de precisão, corpo em alumínio, laminas substituíveis - FERR2000-05044_2340</v>
      </c>
      <c r="V61" t="str">
        <f t="shared" si="33"/>
        <v>FERR2000-05044_2340</v>
      </c>
      <c r="W61" t="str">
        <f t="shared" si="34"/>
        <v>UN</v>
      </c>
      <c r="X61" t="s">
        <v>673</v>
      </c>
      <c r="Y61">
        <f t="shared" si="35"/>
        <v>1</v>
      </c>
      <c r="Z61" s="19" t="s">
        <v>711</v>
      </c>
      <c r="AA61" t="str">
        <f t="shared" si="36"/>
        <v>Acondicionamento - Mecânica</v>
      </c>
      <c r="AB61" t="str">
        <f t="shared" si="37"/>
        <v>62151160</v>
      </c>
      <c r="AC61" t="str">
        <f>_xlfn.XLOOKUP(AA61,referencia!A:A,referencia!B:B,"Error",0,1)</f>
        <v>94002445</v>
      </c>
      <c r="AD61" t="str">
        <f t="shared" si="38"/>
        <v>2,00</v>
      </c>
      <c r="AE61" t="str">
        <f>IF(OR(E61 = "Fornecimento de Equipamento",E61 ="#Fornecimento de Equipamento"),codMateriais(C61,A61,Z61),"")</f>
        <v/>
      </c>
      <c r="AG61" t="str">
        <f t="shared" si="39"/>
        <v/>
      </c>
      <c r="AH61" t="str">
        <f t="shared" si="40"/>
        <v/>
      </c>
      <c r="AI61" t="str">
        <f t="shared" si="41"/>
        <v/>
      </c>
      <c r="AJ61" t="str">
        <f t="shared" si="42"/>
        <v/>
      </c>
      <c r="AK61">
        <f>IF(AND(E61 &lt;&gt; "*Supervisão*", E61 &lt;&gt; "Hookup Elétrico", E61 &lt;&gt; "Hookup Instrumentação", E61 &lt;&gt; "Hookup Tubulação"),VLOOKUP(AC61,referencia!$B$2:$C$29,2,FALSE),"")</f>
        <v>16.887</v>
      </c>
      <c r="AL61" t="str">
        <f t="shared" si="43"/>
        <v>62151160</v>
      </c>
      <c r="AM61">
        <f>IF(AND(E61 &lt;&gt; "*Supervisão*", E61 &lt;&gt; "Hookup Elétrico", E61 &lt;&gt; "Hookup Instrumentação", E61 &lt;&gt; "Hookup Tubulação"),IF(OR(E61 = "Fornecimento de Equipamento",E61 ="#Fornecimento de Equipamento"),AE61,VLOOKUP(AC61,referencia!$B$2:$D$29,3,FALSE)),"")</f>
        <v>23000007</v>
      </c>
      <c r="AN61">
        <f t="shared" si="24"/>
        <v>33.774000000000001</v>
      </c>
      <c r="AO61" t="str">
        <f>IF($E61 = "Preservação",VLOOKUP(AC61,referencia!$B$1:$G$29,6,FALSE),"")</f>
        <v/>
      </c>
      <c r="AP61" t="str">
        <f t="shared" si="44"/>
        <v/>
      </c>
      <c r="AQ61" t="str">
        <f>IF($E61 = "Preservação",VLOOKUP(AC61,referencia!$B$1:$F$29,5,FALSE),"")</f>
        <v/>
      </c>
      <c r="AR61" t="str">
        <f t="shared" si="45"/>
        <v/>
      </c>
      <c r="AS61">
        <f>VLOOKUP(AC61,referencia!$B$2:$E$29,4,FALSE)</f>
        <v>0.08</v>
      </c>
      <c r="AT61">
        <f t="shared" si="46"/>
        <v>36.475920000000002</v>
      </c>
      <c r="AU61">
        <f t="shared" si="47"/>
        <v>36.475920000000002</v>
      </c>
      <c r="AV61">
        <f t="shared" si="25"/>
        <v>48.12</v>
      </c>
      <c r="AW61">
        <f t="shared" si="48"/>
        <v>48.12</v>
      </c>
      <c r="AX61" t="str">
        <f t="shared" si="23"/>
        <v>Diferente</v>
      </c>
    </row>
    <row r="62" spans="1:50" x14ac:dyDescent="0.25">
      <c r="A62" t="s">
        <v>565</v>
      </c>
      <c r="B62" t="s">
        <v>566</v>
      </c>
      <c r="C62">
        <v>2000</v>
      </c>
      <c r="D62">
        <v>2340</v>
      </c>
      <c r="E62" t="s">
        <v>543</v>
      </c>
      <c r="F62" t="s">
        <v>478</v>
      </c>
      <c r="G62" t="s">
        <v>624</v>
      </c>
      <c r="H62" t="s">
        <v>625</v>
      </c>
      <c r="I62">
        <v>1</v>
      </c>
      <c r="J62" t="s">
        <v>549</v>
      </c>
      <c r="K62" t="s">
        <v>648</v>
      </c>
      <c r="L62" t="s">
        <v>650</v>
      </c>
      <c r="M62" s="18" t="str">
        <f t="shared" si="26"/>
        <v>022340031FERR2000-05045_2340</v>
      </c>
      <c r="N62" s="18" t="str">
        <f t="shared" si="27"/>
        <v>OCC</v>
      </c>
      <c r="O62" s="18" t="str">
        <f t="shared" si="28"/>
        <v>OCC2340</v>
      </c>
      <c r="P62" s="18" t="str">
        <f t="shared" si="29"/>
        <v>OCC2340Mecânica</v>
      </c>
      <c r="Q62" s="18" t="str">
        <f t="shared" si="30"/>
        <v>OCC2340MecânicaAcondicionamento</v>
      </c>
      <c r="R62" s="19" t="s">
        <v>667</v>
      </c>
      <c r="S62" s="18">
        <f t="shared" si="31"/>
        <v>3</v>
      </c>
      <c r="T62" s="18" t="str">
        <f t="shared" si="32"/>
        <v>EBN.OCC.2340.INM-01-0317</v>
      </c>
      <c r="U62" s="18" t="str">
        <f>IF(AND(J62&lt;&gt;"FIXO",E62="Fornecimento de Equipamento"),"#"&amp;montDes(E62,G62,H62),montDes(E62,G62,H62))</f>
        <v>Acondicionamento - Paquímetro de profundidade - 0 - 250 mm, graduação 0,02mm - FERR2000-05045_2340</v>
      </c>
      <c r="V62" t="str">
        <f t="shared" si="33"/>
        <v>FERR2000-05045_2340</v>
      </c>
      <c r="W62" t="str">
        <f t="shared" si="34"/>
        <v>UN</v>
      </c>
      <c r="X62" t="s">
        <v>673</v>
      </c>
      <c r="Y62">
        <f t="shared" si="35"/>
        <v>1</v>
      </c>
      <c r="Z62" s="19" t="s">
        <v>712</v>
      </c>
      <c r="AA62" t="str">
        <f t="shared" si="36"/>
        <v>Acondicionamento - Mecânica</v>
      </c>
      <c r="AB62" t="str">
        <f t="shared" si="37"/>
        <v>62151161</v>
      </c>
      <c r="AC62" t="str">
        <f>_xlfn.XLOOKUP(AA62,referencia!A:A,referencia!B:B,"Error",0,1)</f>
        <v>94002445</v>
      </c>
      <c r="AD62" t="str">
        <f t="shared" si="38"/>
        <v>2,00</v>
      </c>
      <c r="AE62" t="str">
        <f>IF(OR(E62 = "Fornecimento de Equipamento",E62 ="#Fornecimento de Equipamento"),codMateriais(C62,A62,Z62),"")</f>
        <v/>
      </c>
      <c r="AG62" t="str">
        <f t="shared" si="39"/>
        <v/>
      </c>
      <c r="AH62" t="str">
        <f t="shared" si="40"/>
        <v/>
      </c>
      <c r="AI62" t="str">
        <f t="shared" si="41"/>
        <v/>
      </c>
      <c r="AJ62" t="str">
        <f t="shared" si="42"/>
        <v/>
      </c>
      <c r="AK62">
        <f>IF(AND(E62 &lt;&gt; "*Supervisão*", E62 &lt;&gt; "Hookup Elétrico", E62 &lt;&gt; "Hookup Instrumentação", E62 &lt;&gt; "Hookup Tubulação"),VLOOKUP(AC62,referencia!$B$2:$C$29,2,FALSE),"")</f>
        <v>16.887</v>
      </c>
      <c r="AL62" t="str">
        <f t="shared" si="43"/>
        <v>62151161</v>
      </c>
      <c r="AM62">
        <f>IF(AND(E62 &lt;&gt; "*Supervisão*", E62 &lt;&gt; "Hookup Elétrico", E62 &lt;&gt; "Hookup Instrumentação", E62 &lt;&gt; "Hookup Tubulação"),IF(OR(E62 = "Fornecimento de Equipamento",E62 ="#Fornecimento de Equipamento"),AE62,VLOOKUP(AC62,referencia!$B$2:$D$29,3,FALSE)),"")</f>
        <v>23000007</v>
      </c>
      <c r="AN62">
        <f t="shared" si="24"/>
        <v>33.774000000000001</v>
      </c>
      <c r="AO62" t="str">
        <f>IF($E62 = "Preservação",VLOOKUP(AC62,referencia!$B$1:$G$29,6,FALSE),"")</f>
        <v/>
      </c>
      <c r="AP62" t="str">
        <f t="shared" si="44"/>
        <v/>
      </c>
      <c r="AQ62" t="str">
        <f>IF($E62 = "Preservação",VLOOKUP(AC62,referencia!$B$1:$F$29,5,FALSE),"")</f>
        <v/>
      </c>
      <c r="AR62" t="str">
        <f t="shared" si="45"/>
        <v/>
      </c>
      <c r="AS62">
        <f>VLOOKUP(AC62,referencia!$B$2:$E$29,4,FALSE)</f>
        <v>0.08</v>
      </c>
      <c r="AT62">
        <f t="shared" si="46"/>
        <v>36.475920000000002</v>
      </c>
      <c r="AU62">
        <f t="shared" si="47"/>
        <v>36.475920000000002</v>
      </c>
      <c r="AV62">
        <f t="shared" si="25"/>
        <v>48.12</v>
      </c>
      <c r="AW62">
        <f t="shared" si="48"/>
        <v>48.12</v>
      </c>
      <c r="AX62" t="str">
        <f t="shared" si="23"/>
        <v>Diferente</v>
      </c>
    </row>
    <row r="63" spans="1:50" x14ac:dyDescent="0.25">
      <c r="A63" t="s">
        <v>565</v>
      </c>
      <c r="B63" t="s">
        <v>566</v>
      </c>
      <c r="C63">
        <v>2000</v>
      </c>
      <c r="D63">
        <v>2340</v>
      </c>
      <c r="E63" t="s">
        <v>543</v>
      </c>
      <c r="F63" t="s">
        <v>478</v>
      </c>
      <c r="G63" t="s">
        <v>628</v>
      </c>
      <c r="H63" t="s">
        <v>629</v>
      </c>
      <c r="I63">
        <v>1</v>
      </c>
      <c r="J63" t="s">
        <v>549</v>
      </c>
      <c r="K63" t="s">
        <v>648</v>
      </c>
      <c r="L63" t="s">
        <v>650</v>
      </c>
      <c r="M63" s="18" t="str">
        <f t="shared" si="26"/>
        <v>022340031FERR2000-05046_2340</v>
      </c>
      <c r="N63" s="18" t="str">
        <f t="shared" si="27"/>
        <v>OCC</v>
      </c>
      <c r="O63" s="18" t="str">
        <f t="shared" si="28"/>
        <v>OCC2340</v>
      </c>
      <c r="P63" s="18" t="str">
        <f t="shared" si="29"/>
        <v>OCC2340Mecânica</v>
      </c>
      <c r="Q63" s="18" t="str">
        <f t="shared" si="30"/>
        <v>OCC2340MecânicaAcondicionamento</v>
      </c>
      <c r="R63" s="19" t="s">
        <v>668</v>
      </c>
      <c r="S63" s="18">
        <f t="shared" si="31"/>
        <v>3</v>
      </c>
      <c r="T63" s="18" t="str">
        <f t="shared" si="32"/>
        <v>EBN.OCC.2340.INM-01-0318</v>
      </c>
      <c r="U63" s="18" t="str">
        <f>IF(AND(J63&lt;&gt;"FIXO",E63="Fornecimento de Equipamento"),"#"&amp;montDes(E63,G63,H63),montDes(E63,G63,H63))</f>
        <v>Acondicionamento - Suporte removível para calibradores de profundidade de 400 mm. Erro máximo permitido (± 0,005mm) - FERR2000-05046_2340</v>
      </c>
      <c r="V63" t="str">
        <f t="shared" si="33"/>
        <v>FERR2000-05046_2340</v>
      </c>
      <c r="W63" t="str">
        <f t="shared" si="34"/>
        <v>UN</v>
      </c>
      <c r="X63" t="s">
        <v>673</v>
      </c>
      <c r="Y63">
        <f t="shared" si="35"/>
        <v>1</v>
      </c>
      <c r="Z63" s="19" t="s">
        <v>713</v>
      </c>
      <c r="AA63" t="str">
        <f t="shared" si="36"/>
        <v>Acondicionamento - Mecânica</v>
      </c>
      <c r="AB63" t="str">
        <f t="shared" si="37"/>
        <v>62151162</v>
      </c>
      <c r="AC63" t="str">
        <f>_xlfn.XLOOKUP(AA63,referencia!A:A,referencia!B:B,"Error",0,1)</f>
        <v>94002445</v>
      </c>
      <c r="AD63" t="str">
        <f t="shared" si="38"/>
        <v>2,00</v>
      </c>
      <c r="AE63" t="str">
        <f>IF(OR(E63 = "Fornecimento de Equipamento",E63 ="#Fornecimento de Equipamento"),codMateriais(C63,A63,Z63),"")</f>
        <v/>
      </c>
      <c r="AG63" t="str">
        <f t="shared" si="39"/>
        <v/>
      </c>
      <c r="AH63" t="str">
        <f t="shared" si="40"/>
        <v/>
      </c>
      <c r="AI63" t="str">
        <f t="shared" si="41"/>
        <v/>
      </c>
      <c r="AJ63" t="str">
        <f t="shared" si="42"/>
        <v/>
      </c>
      <c r="AK63">
        <f>IF(AND(E63 &lt;&gt; "*Supervisão*", E63 &lt;&gt; "Hookup Elétrico", E63 &lt;&gt; "Hookup Instrumentação", E63 &lt;&gt; "Hookup Tubulação"),VLOOKUP(AC63,referencia!$B$2:$C$29,2,FALSE),"")</f>
        <v>16.887</v>
      </c>
      <c r="AL63" t="str">
        <f t="shared" si="43"/>
        <v>62151162</v>
      </c>
      <c r="AM63">
        <f>IF(AND(E63 &lt;&gt; "*Supervisão*", E63 &lt;&gt; "Hookup Elétrico", E63 &lt;&gt; "Hookup Instrumentação", E63 &lt;&gt; "Hookup Tubulação"),IF(OR(E63 = "Fornecimento de Equipamento",E63 ="#Fornecimento de Equipamento"),AE63,VLOOKUP(AC63,referencia!$B$2:$D$29,3,FALSE)),"")</f>
        <v>23000007</v>
      </c>
      <c r="AN63">
        <f t="shared" si="24"/>
        <v>33.774000000000001</v>
      </c>
      <c r="AO63" t="str">
        <f>IF($E63 = "Preservação",VLOOKUP(AC63,referencia!$B$1:$G$29,6,FALSE),"")</f>
        <v/>
      </c>
      <c r="AP63" t="str">
        <f t="shared" si="44"/>
        <v/>
      </c>
      <c r="AQ63" t="str">
        <f>IF($E63 = "Preservação",VLOOKUP(AC63,referencia!$B$1:$F$29,5,FALSE),"")</f>
        <v/>
      </c>
      <c r="AR63" t="str">
        <f t="shared" si="45"/>
        <v/>
      </c>
      <c r="AS63">
        <f>VLOOKUP(AC63,referencia!$B$2:$E$29,4,FALSE)</f>
        <v>0.08</v>
      </c>
      <c r="AT63">
        <f t="shared" si="46"/>
        <v>36.475920000000002</v>
      </c>
      <c r="AU63">
        <f t="shared" si="47"/>
        <v>36.475920000000002</v>
      </c>
      <c r="AV63">
        <f t="shared" si="25"/>
        <v>48.12</v>
      </c>
      <c r="AW63">
        <f t="shared" si="48"/>
        <v>48.12</v>
      </c>
      <c r="AX63" t="str">
        <f t="shared" si="23"/>
        <v>Diferente</v>
      </c>
    </row>
    <row r="64" spans="1:50" x14ac:dyDescent="0.25">
      <c r="A64" t="s">
        <v>565</v>
      </c>
      <c r="B64" t="s">
        <v>566</v>
      </c>
      <c r="C64">
        <v>2000</v>
      </c>
      <c r="D64">
        <v>2340</v>
      </c>
      <c r="E64" t="s">
        <v>543</v>
      </c>
      <c r="F64" t="s">
        <v>478</v>
      </c>
      <c r="G64" t="s">
        <v>632</v>
      </c>
      <c r="H64" t="s">
        <v>633</v>
      </c>
      <c r="I64">
        <v>1</v>
      </c>
      <c r="J64" t="s">
        <v>549</v>
      </c>
      <c r="K64" t="s">
        <v>648</v>
      </c>
      <c r="L64" t="s">
        <v>650</v>
      </c>
      <c r="M64" s="18" t="str">
        <f t="shared" si="26"/>
        <v>022340031FERR2000-05049_2340</v>
      </c>
      <c r="N64" s="18" t="str">
        <f t="shared" si="27"/>
        <v>OCC</v>
      </c>
      <c r="O64" s="18" t="str">
        <f t="shared" si="28"/>
        <v>OCC2340</v>
      </c>
      <c r="P64" s="18" t="str">
        <f t="shared" si="29"/>
        <v>OCC2340Mecânica</v>
      </c>
      <c r="Q64" s="18" t="str">
        <f t="shared" si="30"/>
        <v>OCC2340MecânicaAcondicionamento</v>
      </c>
      <c r="R64" s="19" t="s">
        <v>669</v>
      </c>
      <c r="S64" s="18">
        <f t="shared" si="31"/>
        <v>3</v>
      </c>
      <c r="T64" s="18" t="str">
        <f t="shared" si="32"/>
        <v>EBN.OCC.2340.INM-01-0319</v>
      </c>
      <c r="U64" s="18" t="str">
        <f>IF(AND(J64&lt;&gt;"FIXO",E64="Fornecimento de Equipamento"),"#"&amp;montDes(E64,G64,H64),montDes(E64,G64,H64))</f>
        <v>Acondicionamento - Barra em aço inoxidável, rosca integral, M6 x 175mm - FERR2000-05049_2340</v>
      </c>
      <c r="V64" t="str">
        <f t="shared" si="33"/>
        <v>FERR2000-05049_2340</v>
      </c>
      <c r="W64" t="str">
        <f t="shared" si="34"/>
        <v>UN</v>
      </c>
      <c r="X64" t="s">
        <v>673</v>
      </c>
      <c r="Y64">
        <f t="shared" si="35"/>
        <v>1</v>
      </c>
      <c r="Z64" s="19" t="s">
        <v>714</v>
      </c>
      <c r="AA64" t="str">
        <f t="shared" si="36"/>
        <v>Acondicionamento - Mecânica</v>
      </c>
      <c r="AB64" t="str">
        <f t="shared" si="37"/>
        <v>62151163</v>
      </c>
      <c r="AC64" t="str">
        <f>_xlfn.XLOOKUP(AA64,referencia!A:A,referencia!B:B,"Error",0,1)</f>
        <v>94002445</v>
      </c>
      <c r="AD64" t="str">
        <f t="shared" si="38"/>
        <v>2,00</v>
      </c>
      <c r="AE64" t="str">
        <f>IF(OR(E64 = "Fornecimento de Equipamento",E64 ="#Fornecimento de Equipamento"),codMateriais(C64,A64,Z64),"")</f>
        <v/>
      </c>
      <c r="AG64" t="str">
        <f t="shared" si="39"/>
        <v/>
      </c>
      <c r="AH64" t="str">
        <f t="shared" si="40"/>
        <v/>
      </c>
      <c r="AI64" t="str">
        <f t="shared" si="41"/>
        <v/>
      </c>
      <c r="AJ64" t="str">
        <f t="shared" si="42"/>
        <v/>
      </c>
      <c r="AK64">
        <f>IF(AND(E64 &lt;&gt; "*Supervisão*", E64 &lt;&gt; "Hookup Elétrico", E64 &lt;&gt; "Hookup Instrumentação", E64 &lt;&gt; "Hookup Tubulação"),VLOOKUP(AC64,referencia!$B$2:$C$29,2,FALSE),"")</f>
        <v>16.887</v>
      </c>
      <c r="AL64" t="str">
        <f t="shared" si="43"/>
        <v>62151163</v>
      </c>
      <c r="AM64">
        <f>IF(AND(E64 &lt;&gt; "*Supervisão*", E64 &lt;&gt; "Hookup Elétrico", E64 &lt;&gt; "Hookup Instrumentação", E64 &lt;&gt; "Hookup Tubulação"),IF(OR(E64 = "Fornecimento de Equipamento",E64 ="#Fornecimento de Equipamento"),AE64,VLOOKUP(AC64,referencia!$B$2:$D$29,3,FALSE)),"")</f>
        <v>23000007</v>
      </c>
      <c r="AN64">
        <f t="shared" si="24"/>
        <v>33.774000000000001</v>
      </c>
      <c r="AO64" t="str">
        <f>IF($E64 = "Preservação",VLOOKUP(AC64,referencia!$B$1:$G$29,6,FALSE),"")</f>
        <v/>
      </c>
      <c r="AP64" t="str">
        <f t="shared" si="44"/>
        <v/>
      </c>
      <c r="AQ64" t="str">
        <f>IF($E64 = "Preservação",VLOOKUP(AC64,referencia!$B$1:$F$29,5,FALSE),"")</f>
        <v/>
      </c>
      <c r="AR64" t="str">
        <f t="shared" si="45"/>
        <v/>
      </c>
      <c r="AS64">
        <f>VLOOKUP(AC64,referencia!$B$2:$E$29,4,FALSE)</f>
        <v>0.08</v>
      </c>
      <c r="AT64">
        <f t="shared" si="46"/>
        <v>36.475920000000002</v>
      </c>
      <c r="AU64">
        <f t="shared" si="47"/>
        <v>36.475920000000002</v>
      </c>
      <c r="AV64">
        <f t="shared" si="25"/>
        <v>48.12</v>
      </c>
      <c r="AW64">
        <f t="shared" si="48"/>
        <v>48.12</v>
      </c>
      <c r="AX64" t="str">
        <f t="shared" si="23"/>
        <v>Diferente</v>
      </c>
    </row>
    <row r="65" spans="1:50" x14ac:dyDescent="0.25">
      <c r="A65" t="s">
        <v>565</v>
      </c>
      <c r="B65" t="s">
        <v>566</v>
      </c>
      <c r="C65">
        <v>2000</v>
      </c>
      <c r="D65">
        <v>2340</v>
      </c>
      <c r="E65" t="s">
        <v>543</v>
      </c>
      <c r="F65" t="s">
        <v>478</v>
      </c>
      <c r="G65" t="s">
        <v>636</v>
      </c>
      <c r="H65" t="s">
        <v>637</v>
      </c>
      <c r="I65">
        <v>1</v>
      </c>
      <c r="J65" t="s">
        <v>549</v>
      </c>
      <c r="K65" t="s">
        <v>648</v>
      </c>
      <c r="L65" t="s">
        <v>650</v>
      </c>
      <c r="M65" s="18" t="str">
        <f t="shared" si="26"/>
        <v>022340031FERR2000-05050_2340</v>
      </c>
      <c r="N65" s="18" t="str">
        <f t="shared" si="27"/>
        <v>OCC</v>
      </c>
      <c r="O65" s="18" t="str">
        <f t="shared" si="28"/>
        <v>OCC2340</v>
      </c>
      <c r="P65" s="18" t="str">
        <f t="shared" si="29"/>
        <v>OCC2340Mecânica</v>
      </c>
      <c r="Q65" s="18" t="str">
        <f t="shared" si="30"/>
        <v>OCC2340MecânicaAcondicionamento</v>
      </c>
      <c r="R65" s="19" t="s">
        <v>670</v>
      </c>
      <c r="S65" s="18">
        <f t="shared" si="31"/>
        <v>3</v>
      </c>
      <c r="T65" s="18" t="str">
        <f t="shared" si="32"/>
        <v>EBN.OCC.2340.INM-01-0320</v>
      </c>
      <c r="U65" s="18" t="str">
        <f>IF(AND(J65&lt;&gt;"FIXO",E65="Fornecimento de Equipamento"),"#"&amp;montDes(E65,G65,H65),montDes(E65,G65,H65))</f>
        <v>Acondicionamento - Barra em aço inoxidável - S-304 Grau A2, rosca integral, M4 x 250mm. - FERR2000-05050_2340</v>
      </c>
      <c r="V65" t="str">
        <f t="shared" si="33"/>
        <v>FERR2000-05050_2340</v>
      </c>
      <c r="W65" t="str">
        <f t="shared" si="34"/>
        <v>UN</v>
      </c>
      <c r="X65" t="s">
        <v>673</v>
      </c>
      <c r="Y65">
        <f t="shared" si="35"/>
        <v>1</v>
      </c>
      <c r="Z65" s="19" t="s">
        <v>715</v>
      </c>
      <c r="AA65" t="str">
        <f t="shared" si="36"/>
        <v>Acondicionamento - Mecânica</v>
      </c>
      <c r="AB65" t="str">
        <f t="shared" si="37"/>
        <v>62151164</v>
      </c>
      <c r="AC65" t="str">
        <f>_xlfn.XLOOKUP(AA65,referencia!A:A,referencia!B:B,"Error",0,1)</f>
        <v>94002445</v>
      </c>
      <c r="AD65" t="str">
        <f t="shared" si="38"/>
        <v>2,00</v>
      </c>
      <c r="AE65" t="str">
        <f>IF(OR(E65 = "Fornecimento de Equipamento",E65 ="#Fornecimento de Equipamento"),codMateriais(C65,A65,Z65),"")</f>
        <v/>
      </c>
      <c r="AG65" t="str">
        <f t="shared" si="39"/>
        <v/>
      </c>
      <c r="AH65" t="str">
        <f t="shared" si="40"/>
        <v/>
      </c>
      <c r="AI65" t="str">
        <f t="shared" si="41"/>
        <v/>
      </c>
      <c r="AJ65" t="str">
        <f t="shared" si="42"/>
        <v/>
      </c>
      <c r="AK65">
        <f>IF(AND(E65 &lt;&gt; "*Supervisão*", E65 &lt;&gt; "Hookup Elétrico", E65 &lt;&gt; "Hookup Instrumentação", E65 &lt;&gt; "Hookup Tubulação"),VLOOKUP(AC65,referencia!$B$2:$C$29,2,FALSE),"")</f>
        <v>16.887</v>
      </c>
      <c r="AL65" t="str">
        <f t="shared" si="43"/>
        <v>62151164</v>
      </c>
      <c r="AM65">
        <f>IF(AND(E65 &lt;&gt; "*Supervisão*", E65 &lt;&gt; "Hookup Elétrico", E65 &lt;&gt; "Hookup Instrumentação", E65 &lt;&gt; "Hookup Tubulação"),IF(OR(E65 = "Fornecimento de Equipamento",E65 ="#Fornecimento de Equipamento"),AE65,VLOOKUP(AC65,referencia!$B$2:$D$29,3,FALSE)),"")</f>
        <v>23000007</v>
      </c>
      <c r="AN65">
        <f t="shared" si="24"/>
        <v>33.774000000000001</v>
      </c>
      <c r="AO65" t="str">
        <f>IF($E65 = "Preservação",VLOOKUP(AC65,referencia!$B$1:$G$29,6,FALSE),"")</f>
        <v/>
      </c>
      <c r="AP65" t="str">
        <f t="shared" si="44"/>
        <v/>
      </c>
      <c r="AQ65" t="str">
        <f>IF($E65 = "Preservação",VLOOKUP(AC65,referencia!$B$1:$F$29,5,FALSE),"")</f>
        <v/>
      </c>
      <c r="AR65" t="str">
        <f t="shared" si="45"/>
        <v/>
      </c>
      <c r="AS65">
        <f>VLOOKUP(AC65,referencia!$B$2:$E$29,4,FALSE)</f>
        <v>0.08</v>
      </c>
      <c r="AT65">
        <f t="shared" si="46"/>
        <v>36.475920000000002</v>
      </c>
      <c r="AU65">
        <f t="shared" si="47"/>
        <v>36.475920000000002</v>
      </c>
      <c r="AV65">
        <f t="shared" si="25"/>
        <v>48.12</v>
      </c>
      <c r="AW65">
        <f t="shared" si="48"/>
        <v>48.12</v>
      </c>
      <c r="AX65" t="str">
        <f t="shared" si="23"/>
        <v>Diferente</v>
      </c>
    </row>
    <row r="66" spans="1:50" x14ac:dyDescent="0.25">
      <c r="A66" t="s">
        <v>565</v>
      </c>
      <c r="B66" t="s">
        <v>566</v>
      </c>
      <c r="C66">
        <v>2000</v>
      </c>
      <c r="D66">
        <v>2340</v>
      </c>
      <c r="E66" t="s">
        <v>543</v>
      </c>
      <c r="F66" t="s">
        <v>478</v>
      </c>
      <c r="G66" t="s">
        <v>640</v>
      </c>
      <c r="H66" t="s">
        <v>641</v>
      </c>
      <c r="I66">
        <v>1</v>
      </c>
      <c r="J66" t="s">
        <v>549</v>
      </c>
      <c r="K66" t="s">
        <v>648</v>
      </c>
      <c r="L66" t="s">
        <v>650</v>
      </c>
      <c r="M66" s="18" t="str">
        <f t="shared" ref="M66:M89" si="49">Alinhar(E66,D66,F66,H66)</f>
        <v>022340031FERR2000-05053_2340</v>
      </c>
      <c r="N66" s="18" t="str">
        <f t="shared" ref="N66:N89" si="50">Servv(E66)</f>
        <v>OCC</v>
      </c>
      <c r="O66" s="18" t="str">
        <f t="shared" ref="O66:O97" si="51">_xlfn.CONCAT(N66,D66)</f>
        <v>OCC2340</v>
      </c>
      <c r="P66" s="18" t="str">
        <f t="shared" ref="P66:P97" si="52">_xlfn.CONCAT(O66,F66)</f>
        <v>OCC2340Mecânica</v>
      </c>
      <c r="Q66" s="18" t="str">
        <f t="shared" ref="Q66:Q97" si="53">_xlfn.CONCAT(P66,E66)</f>
        <v>OCC2340MecânicaAcondicionamento</v>
      </c>
      <c r="R66" s="19" t="s">
        <v>671</v>
      </c>
      <c r="S66" s="18">
        <f t="shared" ref="S66:S89" si="54">VerificarValor(Q65, Q66, S65)</f>
        <v>3</v>
      </c>
      <c r="T66" s="18" t="str">
        <f t="shared" ref="T66:T97" si="55">EAP(E66,D66,F66,S66,R66)</f>
        <v>EBN.OCC.2340.INM-01-0321</v>
      </c>
      <c r="U66" s="18" t="str">
        <f>IF(AND(J66&lt;&gt;"FIXO",E66="Fornecimento de Equipamento"),"#"&amp;montDes(E66,G66,H66),montDes(E66,G66,H66))</f>
        <v>Acondicionamento - Jogo de calços de precisão, com 47 peças classe 2. - FERR2000-05053_2340</v>
      </c>
      <c r="V66" t="str">
        <f t="shared" ref="V66:V89" si="56">H66</f>
        <v>FERR2000-05053_2340</v>
      </c>
      <c r="W66" t="str">
        <f t="shared" ref="W66:W89" si="57">IF(E66 = "Preservação","UN/mês","UN")</f>
        <v>UN</v>
      </c>
      <c r="X66" t="s">
        <v>673</v>
      </c>
      <c r="Y66">
        <f t="shared" ref="Y66:Y89" si="58">I66</f>
        <v>1</v>
      </c>
      <c r="Z66" s="19" t="s">
        <v>716</v>
      </c>
      <c r="AA66" t="str">
        <f t="shared" ref="AA66:AA89" si="59">IF(_xlfn.CONCAT(E66," - ",F66)="Montagem - Mecânica",_xlfn.CONCAT(E66," - ",F66," - ",J66),_xlfn.CONCAT(E66," - ",F66))</f>
        <v>Acondicionamento - Mecânica</v>
      </c>
      <c r="AB66" t="str">
        <f t="shared" ref="AB66:AB89" si="60">codImporta(C66,A66,Z66)</f>
        <v>62151165</v>
      </c>
      <c r="AC66" t="str">
        <f>_xlfn.XLOOKUP(AA66,referencia!A:A,referencia!B:B,"Error",0,1)</f>
        <v>94002445</v>
      </c>
      <c r="AD66" t="str">
        <f t="shared" ref="AD66:AD89" si="61">L66</f>
        <v>2,00</v>
      </c>
      <c r="AE66" t="str">
        <f>IF(OR(E66 = "Fornecimento de Equipamento",E66 ="#Fornecimento de Equipamento"),codMateriais(C66,A66,Z66),"")</f>
        <v/>
      </c>
      <c r="AG66" t="str">
        <f t="shared" ref="AG66:AG89" si="62">IF(OR(E66 = "Fornecimento de Equipamento",E66 ="#Fornecimento de Equipamento"),_xlfn.CONCAT(G66," - ",H66),"")</f>
        <v/>
      </c>
      <c r="AH66" t="str">
        <f t="shared" ref="AH66:AH89" si="63">IF(OR(E66 = "Fornecimento de Equipamento",E66 ="#Fornecimento de Equipamento"),W66,"")</f>
        <v/>
      </c>
      <c r="AI66" t="str">
        <f t="shared" ref="AI66:AI89" si="64">IF(OR(E66 = "Fornecimento de Equipamento",E66 ="#Fornecimento de Equipamento"),K66,"")</f>
        <v/>
      </c>
      <c r="AJ66" t="str">
        <f t="shared" ref="AJ66:AJ89" si="65">IF(OR(E66 = "Fornecimento de Equipamento",E66 ="#Fornecimento de Equipamento"),"R$","")</f>
        <v/>
      </c>
      <c r="AK66">
        <f>IF(AND(E66 &lt;&gt; "*Supervisão*", E66 &lt;&gt; "Hookup Elétrico", E66 &lt;&gt; "Hookup Instrumentação", E66 &lt;&gt; "Hookup Tubulação"),VLOOKUP(AC66,referencia!$B$2:$C$29,2,FALSE),"")</f>
        <v>16.887</v>
      </c>
      <c r="AL66" t="str">
        <f t="shared" ref="AL66:AL89" si="66">IF(AND(E66 &lt;&gt; "*Supervisão*", E66 &lt;&gt; "Hookup Elétrico", E66 &lt;&gt; "Hookup Instrumentação", E66 &lt;&gt; "Hookup Tubulação"), AB66, "")</f>
        <v>62151165</v>
      </c>
      <c r="AM66">
        <f>IF(AND(E66 &lt;&gt; "*Supervisão*", E66 &lt;&gt; "Hookup Elétrico", E66 &lt;&gt; "Hookup Instrumentação", E66 &lt;&gt; "Hookup Tubulação"),IF(OR(E66 = "Fornecimento de Equipamento",E66 ="#Fornecimento de Equipamento"),AE66,VLOOKUP(AC66,referencia!$B$2:$D$29,3,FALSE)),"")</f>
        <v>23000007</v>
      </c>
      <c r="AN66">
        <f t="shared" si="24"/>
        <v>33.774000000000001</v>
      </c>
      <c r="AO66" t="str">
        <f>IF($E66 = "Preservação",VLOOKUP(AC66,referencia!$B$1:$G$29,6,FALSE),"")</f>
        <v/>
      </c>
      <c r="AP66" t="str">
        <f t="shared" ref="AP66:AP89" si="67">IF($E66 = "Preservação",AL66,"")</f>
        <v/>
      </c>
      <c r="AQ66" t="str">
        <f>IF($E66 = "Preservação",VLOOKUP(AC66,referencia!$B$1:$F$29,5,FALSE),"")</f>
        <v/>
      </c>
      <c r="AR66" t="str">
        <f t="shared" ref="AR66:AR89" si="68">IF($E66 = "Preservação",((AK66*AD66)*0.05)/AO66,"")</f>
        <v/>
      </c>
      <c r="AS66">
        <f>VLOOKUP(AC66,referencia!$B$2:$E$29,4,FALSE)</f>
        <v>0.08</v>
      </c>
      <c r="AT66">
        <f t="shared" ref="AT66:AT97" si="69">IF(OR(E66="Fornecimento de Equipamento",E66="#Fornecimento de Equipamento"),K66+(AK66*AD66),((AD66*AK66)+(AN66*AS66)+(IF(AO66 = "",0,AO66)*IF(AR66 = "",0,AR66))))</f>
        <v>36.475920000000002</v>
      </c>
      <c r="AU66">
        <f t="shared" ref="AU66:AU97" si="70">AT66*I66</f>
        <v>36.475920000000002</v>
      </c>
      <c r="AV66">
        <f t="shared" si="25"/>
        <v>48.12</v>
      </c>
      <c r="AW66">
        <f t="shared" ref="AW66:AW97" si="71">AV66*I66</f>
        <v>48.12</v>
      </c>
      <c r="AX66" t="str">
        <f t="shared" si="23"/>
        <v>Diferente</v>
      </c>
    </row>
    <row r="67" spans="1:50" x14ac:dyDescent="0.25">
      <c r="A67" t="s">
        <v>565</v>
      </c>
      <c r="B67" t="s">
        <v>566</v>
      </c>
      <c r="C67">
        <v>2000</v>
      </c>
      <c r="D67">
        <v>2340</v>
      </c>
      <c r="E67" t="s">
        <v>543</v>
      </c>
      <c r="F67" t="s">
        <v>478</v>
      </c>
      <c r="G67" t="s">
        <v>644</v>
      </c>
      <c r="H67" t="s">
        <v>645</v>
      </c>
      <c r="I67">
        <v>1</v>
      </c>
      <c r="J67" t="s">
        <v>549</v>
      </c>
      <c r="K67" t="s">
        <v>648</v>
      </c>
      <c r="L67" t="s">
        <v>650</v>
      </c>
      <c r="M67" s="18" t="str">
        <f t="shared" si="49"/>
        <v>022340031FERR2000-05054_2340</v>
      </c>
      <c r="N67" s="18" t="str">
        <f t="shared" si="50"/>
        <v>OCC</v>
      </c>
      <c r="O67" s="18" t="str">
        <f t="shared" si="51"/>
        <v>OCC2340</v>
      </c>
      <c r="P67" s="18" t="str">
        <f t="shared" si="52"/>
        <v>OCC2340Mecânica</v>
      </c>
      <c r="Q67" s="18" t="str">
        <f t="shared" si="53"/>
        <v>OCC2340MecânicaAcondicionamento</v>
      </c>
      <c r="R67" s="19" t="s">
        <v>672</v>
      </c>
      <c r="S67" s="18">
        <f t="shared" si="54"/>
        <v>3</v>
      </c>
      <c r="T67" s="18" t="str">
        <f t="shared" si="55"/>
        <v>EBN.OCC.2340.INM-01-0322</v>
      </c>
      <c r="U67" s="18" t="str">
        <f>IF(AND(J67&lt;&gt;"FIXO",E67="Fornecimento de Equipamento"),"#"&amp;montDes(E67,G67,H67),montDes(E67,G67,H67))</f>
        <v>Acondicionamento - Haste de aço, Ø 20 mm x 1600 mm - FERR2000-05054_2340</v>
      </c>
      <c r="V67" t="str">
        <f t="shared" si="56"/>
        <v>FERR2000-05054_2340</v>
      </c>
      <c r="W67" t="str">
        <f t="shared" si="57"/>
        <v>UN</v>
      </c>
      <c r="X67" t="s">
        <v>673</v>
      </c>
      <c r="Y67">
        <f t="shared" si="58"/>
        <v>1</v>
      </c>
      <c r="Z67" s="19" t="s">
        <v>717</v>
      </c>
      <c r="AA67" t="str">
        <f t="shared" si="59"/>
        <v>Acondicionamento - Mecânica</v>
      </c>
      <c r="AB67" t="str">
        <f t="shared" si="60"/>
        <v>62151166</v>
      </c>
      <c r="AC67" t="str">
        <f>_xlfn.XLOOKUP(AA67,referencia!A:A,referencia!B:B,"Error",0,1)</f>
        <v>94002445</v>
      </c>
      <c r="AD67" t="str">
        <f t="shared" si="61"/>
        <v>2,00</v>
      </c>
      <c r="AE67" t="str">
        <f>IF(OR(E67 = "Fornecimento de Equipamento",E67 ="#Fornecimento de Equipamento"),codMateriais(C67,A67,Z67),"")</f>
        <v/>
      </c>
      <c r="AG67" t="str">
        <f t="shared" si="62"/>
        <v/>
      </c>
      <c r="AH67" t="str">
        <f t="shared" si="63"/>
        <v/>
      </c>
      <c r="AI67" t="str">
        <f t="shared" si="64"/>
        <v/>
      </c>
      <c r="AJ67" t="str">
        <f t="shared" si="65"/>
        <v/>
      </c>
      <c r="AK67">
        <f>IF(AND(E67 &lt;&gt; "*Supervisão*", E67 &lt;&gt; "Hookup Elétrico", E67 &lt;&gt; "Hookup Instrumentação", E67 &lt;&gt; "Hookup Tubulação"),VLOOKUP(AC67,referencia!$B$2:$C$29,2,FALSE),"")</f>
        <v>16.887</v>
      </c>
      <c r="AL67" t="str">
        <f t="shared" si="66"/>
        <v>62151166</v>
      </c>
      <c r="AM67">
        <f>IF(AND(E67 &lt;&gt; "*Supervisão*", E67 &lt;&gt; "Hookup Elétrico", E67 &lt;&gt; "Hookup Instrumentação", E67 &lt;&gt; "Hookup Tubulação"),IF(OR(E67 = "Fornecimento de Equipamento",E67 ="#Fornecimento de Equipamento"),AE67,VLOOKUP(AC67,referencia!$B$2:$D$29,3,FALSE)),"")</f>
        <v>23000007</v>
      </c>
      <c r="AN67">
        <f t="shared" si="24"/>
        <v>33.774000000000001</v>
      </c>
      <c r="AO67" t="str">
        <f>IF($E67 = "Preservação",VLOOKUP(AC67,referencia!$B$1:$G$29,6,FALSE),"")</f>
        <v/>
      </c>
      <c r="AP67" t="str">
        <f t="shared" si="67"/>
        <v/>
      </c>
      <c r="AQ67" t="str">
        <f>IF($E67 = "Preservação",VLOOKUP(AC67,referencia!$B$1:$F$29,5,FALSE),"")</f>
        <v/>
      </c>
      <c r="AR67" t="str">
        <f t="shared" si="68"/>
        <v/>
      </c>
      <c r="AS67">
        <f>VLOOKUP(AC67,referencia!$B$2:$E$29,4,FALSE)</f>
        <v>0.08</v>
      </c>
      <c r="AT67">
        <f t="shared" si="69"/>
        <v>36.475920000000002</v>
      </c>
      <c r="AU67">
        <f t="shared" si="70"/>
        <v>36.475920000000002</v>
      </c>
      <c r="AV67">
        <f t="shared" si="25"/>
        <v>48.12</v>
      </c>
      <c r="AW67">
        <f t="shared" si="71"/>
        <v>48.12</v>
      </c>
      <c r="AX67" t="str">
        <f t="shared" ref="AX67:AX89" si="72">IF(AND(J67="MÓVEL",OR(E67 = "#Fornecimento de Equipamento",E67 = "Fornecimento de Equipamento")),"Bate","Diferente")</f>
        <v>Diferente</v>
      </c>
    </row>
    <row r="68" spans="1:50" x14ac:dyDescent="0.25">
      <c r="A68" t="s">
        <v>565</v>
      </c>
      <c r="B68" t="s">
        <v>566</v>
      </c>
      <c r="C68">
        <v>2000</v>
      </c>
      <c r="D68">
        <v>2340</v>
      </c>
      <c r="E68" t="s">
        <v>481</v>
      </c>
      <c r="F68" t="s">
        <v>478</v>
      </c>
      <c r="G68" t="s">
        <v>567</v>
      </c>
      <c r="H68" t="s">
        <v>568</v>
      </c>
      <c r="I68">
        <v>1</v>
      </c>
      <c r="J68" t="s">
        <v>549</v>
      </c>
      <c r="K68" t="s">
        <v>648</v>
      </c>
      <c r="L68">
        <v>2</v>
      </c>
      <c r="M68" s="18" t="str">
        <f t="shared" si="49"/>
        <v>032340091FERR2000-05002_2340</v>
      </c>
      <c r="N68" s="18" t="str">
        <f t="shared" si="50"/>
        <v>OSS</v>
      </c>
      <c r="O68" s="18" t="str">
        <f t="shared" si="51"/>
        <v>OSS2340</v>
      </c>
      <c r="P68" s="18" t="str">
        <f t="shared" si="52"/>
        <v>OSS2340Mecânica</v>
      </c>
      <c r="Q68" s="18" t="str">
        <f t="shared" si="53"/>
        <v>OSS2340MecânicaComissionamento</v>
      </c>
      <c r="R68" s="19" t="s">
        <v>651</v>
      </c>
      <c r="S68" s="18">
        <f t="shared" si="54"/>
        <v>4</v>
      </c>
      <c r="T68" s="18" t="str">
        <f t="shared" si="55"/>
        <v>EBN.OSS.2340.INM-01-0401</v>
      </c>
      <c r="U68" s="18" t="str">
        <f>IF(AND(J68&lt;&gt;"FIXO",E68="Fornecimento de Equipamento"),"#"&amp;montDes(E68,G68,H68),montDes(E68,G68,H68))</f>
        <v>Comissionamento - CARRO PORTA FERRAMENTAS; 4 MÓDULOS POR GAVETA; CAPACIDADE TOTAL DE CARGA DE 175 A 210 kg EM GAVETAS, DIMENSÕES DA BANCADA - 797 X 461; EQUIPADO COM 4 RODÍZIOS DE 125 mm, SENDO 2 GIRATÓRIOS (1 COM FREIO) E 2 FIXOS. DIMENSÕES DO CARRO - (L x P x A) - 1004 x - FERR2000-05002_2340</v>
      </c>
      <c r="V68" t="str">
        <f t="shared" si="56"/>
        <v>FERR2000-05002_2340</v>
      </c>
      <c r="W68" t="str">
        <f t="shared" si="57"/>
        <v>UN</v>
      </c>
      <c r="X68" t="s">
        <v>673</v>
      </c>
      <c r="Y68">
        <f t="shared" si="58"/>
        <v>1</v>
      </c>
      <c r="Z68" s="19" t="s">
        <v>718</v>
      </c>
      <c r="AA68" t="str">
        <f t="shared" si="59"/>
        <v>Comissionamento - Mecânica</v>
      </c>
      <c r="AB68" t="str">
        <f t="shared" si="60"/>
        <v>62151167</v>
      </c>
      <c r="AC68" t="str">
        <f>_xlfn.XLOOKUP(AA68,referencia!A:A,referencia!B:B,"Error",0,1)</f>
        <v>94002453</v>
      </c>
      <c r="AD68">
        <f t="shared" si="61"/>
        <v>2</v>
      </c>
      <c r="AE68" t="str">
        <f>IF(OR(E68 = "Fornecimento de Equipamento",E68 ="#Fornecimento de Equipamento"),codMateriais(C68,A68,Z68),"")</f>
        <v/>
      </c>
      <c r="AG68" t="str">
        <f t="shared" si="62"/>
        <v/>
      </c>
      <c r="AH68" t="str">
        <f t="shared" si="63"/>
        <v/>
      </c>
      <c r="AI68" t="str">
        <f t="shared" si="64"/>
        <v/>
      </c>
      <c r="AJ68" t="str">
        <f t="shared" si="65"/>
        <v/>
      </c>
      <c r="AK68">
        <f>IF(AND(E68 &lt;&gt; "*Supervisão*", E68 &lt;&gt; "Hookup Elétrico", E68 &lt;&gt; "Hookup Instrumentação", E68 &lt;&gt; "Hookup Tubulação"),VLOOKUP(AC68,referencia!$B$2:$C$29,2,FALSE),"")</f>
        <v>17.312874999999998</v>
      </c>
      <c r="AL68" t="str">
        <f t="shared" si="66"/>
        <v>62151167</v>
      </c>
      <c r="AM68">
        <f>IF(AND(E68 &lt;&gt; "*Supervisão*", E68 &lt;&gt; "Hookup Elétrico", E68 &lt;&gt; "Hookup Instrumentação", E68 &lt;&gt; "Hookup Tubulação"),IF(OR(E68 = "Fornecimento de Equipamento",E68 ="#Fornecimento de Equipamento"),AE68,VLOOKUP(AC68,referencia!$B$2:$D$29,3,FALSE)),"")</f>
        <v>23000004</v>
      </c>
      <c r="AN68">
        <f t="shared" ref="AN68:AN89" si="73">IF(AND(E68 &lt;&gt; "*Supervisão*", E68 &lt;&gt; "Hookup Elétrico", E68 &lt;&gt; "Hookup Instrumentação", E68 &lt;&gt; "Hookup Tubulação"),IF(OR(E68 = "Fornecimento de Equipamento",E68 ="#Fornecimento de Equipamento"),1,AD68*AK68),"")</f>
        <v>34.625749999999996</v>
      </c>
      <c r="AO68" t="str">
        <f>IF($E68 = "Preservação",VLOOKUP(AC68,referencia!$B$1:$G$29,6,FALSE),"")</f>
        <v/>
      </c>
      <c r="AP68" t="str">
        <f t="shared" si="67"/>
        <v/>
      </c>
      <c r="AQ68" t="str">
        <f>IF($E68 = "Preservação",VLOOKUP(AC68,referencia!$B$1:$F$29,5,FALSE),"")</f>
        <v/>
      </c>
      <c r="AR68" t="str">
        <f t="shared" si="68"/>
        <v/>
      </c>
      <c r="AS68">
        <f>VLOOKUP(AC68,referencia!$B$2:$E$29,4,FALSE)</f>
        <v>0.15</v>
      </c>
      <c r="AT68">
        <f t="shared" si="69"/>
        <v>39.819612499999998</v>
      </c>
      <c r="AU68">
        <f t="shared" si="70"/>
        <v>39.819612499999998</v>
      </c>
      <c r="AV68">
        <f t="shared" si="25"/>
        <v>52.53</v>
      </c>
      <c r="AW68">
        <f t="shared" si="71"/>
        <v>52.53</v>
      </c>
      <c r="AX68" t="str">
        <f t="shared" si="72"/>
        <v>Diferente</v>
      </c>
    </row>
    <row r="69" spans="1:50" x14ac:dyDescent="0.25">
      <c r="A69" t="s">
        <v>565</v>
      </c>
      <c r="B69" t="s">
        <v>566</v>
      </c>
      <c r="C69">
        <v>2000</v>
      </c>
      <c r="D69">
        <v>2340</v>
      </c>
      <c r="E69" t="s">
        <v>481</v>
      </c>
      <c r="F69" t="s">
        <v>478</v>
      </c>
      <c r="G69" t="s">
        <v>571</v>
      </c>
      <c r="H69" t="s">
        <v>572</v>
      </c>
      <c r="I69">
        <v>8</v>
      </c>
      <c r="J69" t="s">
        <v>549</v>
      </c>
      <c r="K69" t="s">
        <v>648</v>
      </c>
      <c r="L69">
        <v>2</v>
      </c>
      <c r="M69" s="18" t="str">
        <f t="shared" si="49"/>
        <v>032340091FERR2000-05016_2340</v>
      </c>
      <c r="N69" s="18" t="str">
        <f t="shared" si="50"/>
        <v>OSS</v>
      </c>
      <c r="O69" s="18" t="str">
        <f t="shared" si="51"/>
        <v>OSS2340</v>
      </c>
      <c r="P69" s="18" t="str">
        <f t="shared" si="52"/>
        <v>OSS2340Mecânica</v>
      </c>
      <c r="Q69" s="18" t="str">
        <f t="shared" si="53"/>
        <v>OSS2340MecânicaComissionamento</v>
      </c>
      <c r="R69" s="19" t="s">
        <v>652</v>
      </c>
      <c r="S69" s="18">
        <f t="shared" si="54"/>
        <v>4</v>
      </c>
      <c r="T69" s="18" t="str">
        <f t="shared" si="55"/>
        <v>EBN.OSS.2340.INM-01-0402</v>
      </c>
      <c r="U69" s="18" t="str">
        <f>IF(AND(J69&lt;&gt;"FIXO",E69="Fornecimento de Equipamento"),"#"&amp;montDes(E69,G69,H69),montDes(E69,G69,H69))</f>
        <v>Comissionamento - JOGO DE CALÇOS EM FOLHA PLASTICA (8 FOLHAS POR KIT), COMPRIMENTO 305 mm X LARGURA 152 mm, COM A SEGUINTES MEDIDAS (ESPESSURA EM mm) - 0,05, 0,08, 0,1, 0,13, 0,19, 0,25, 0,38 E 0,51 - FERR2000-05016_2340</v>
      </c>
      <c r="V69" t="str">
        <f t="shared" si="56"/>
        <v>FERR2000-05016_2340</v>
      </c>
      <c r="W69" t="str">
        <f t="shared" si="57"/>
        <v>UN</v>
      </c>
      <c r="X69" t="s">
        <v>673</v>
      </c>
      <c r="Y69">
        <f t="shared" si="58"/>
        <v>8</v>
      </c>
      <c r="Z69" s="19" t="s">
        <v>719</v>
      </c>
      <c r="AA69" t="str">
        <f t="shared" si="59"/>
        <v>Comissionamento - Mecânica</v>
      </c>
      <c r="AB69" t="str">
        <f t="shared" si="60"/>
        <v>62151168</v>
      </c>
      <c r="AC69" t="str">
        <f>_xlfn.XLOOKUP(AA69,referencia!A:A,referencia!B:B,"Error",0,1)</f>
        <v>94002453</v>
      </c>
      <c r="AD69">
        <f t="shared" si="61"/>
        <v>2</v>
      </c>
      <c r="AE69" t="str">
        <f>IF(OR(E69 = "Fornecimento de Equipamento",E69 ="#Fornecimento de Equipamento"),codMateriais(C69,A69,Z69),"")</f>
        <v/>
      </c>
      <c r="AG69" t="str">
        <f t="shared" si="62"/>
        <v/>
      </c>
      <c r="AH69" t="str">
        <f t="shared" si="63"/>
        <v/>
      </c>
      <c r="AI69" t="str">
        <f t="shared" si="64"/>
        <v/>
      </c>
      <c r="AJ69" t="str">
        <f t="shared" si="65"/>
        <v/>
      </c>
      <c r="AK69">
        <f>IF(AND(E69 &lt;&gt; "*Supervisão*", E69 &lt;&gt; "Hookup Elétrico", E69 &lt;&gt; "Hookup Instrumentação", E69 &lt;&gt; "Hookup Tubulação"),VLOOKUP(AC69,referencia!$B$2:$C$29,2,FALSE),"")</f>
        <v>17.312874999999998</v>
      </c>
      <c r="AL69" t="str">
        <f t="shared" si="66"/>
        <v>62151168</v>
      </c>
      <c r="AM69">
        <f>IF(AND(E69 &lt;&gt; "*Supervisão*", E69 &lt;&gt; "Hookup Elétrico", E69 &lt;&gt; "Hookup Instrumentação", E69 &lt;&gt; "Hookup Tubulação"),IF(OR(E69 = "Fornecimento de Equipamento",E69 ="#Fornecimento de Equipamento"),AE69,VLOOKUP(AC69,referencia!$B$2:$D$29,3,FALSE)),"")</f>
        <v>23000004</v>
      </c>
      <c r="AN69">
        <f t="shared" si="73"/>
        <v>34.625749999999996</v>
      </c>
      <c r="AO69" t="str">
        <f>IF($E69 = "Preservação",VLOOKUP(AC69,referencia!$B$1:$G$29,6,FALSE),"")</f>
        <v/>
      </c>
      <c r="AP69" t="str">
        <f t="shared" si="67"/>
        <v/>
      </c>
      <c r="AQ69" t="str">
        <f>IF($E69 = "Preservação",VLOOKUP(AC69,referencia!$B$1:$F$29,5,FALSE),"")</f>
        <v/>
      </c>
      <c r="AR69" t="str">
        <f t="shared" si="68"/>
        <v/>
      </c>
      <c r="AS69">
        <f>VLOOKUP(AC69,referencia!$B$2:$E$29,4,FALSE)</f>
        <v>0.15</v>
      </c>
      <c r="AT69">
        <f t="shared" si="69"/>
        <v>39.819612499999998</v>
      </c>
      <c r="AU69">
        <f t="shared" si="70"/>
        <v>318.55689999999998</v>
      </c>
      <c r="AV69">
        <f t="shared" si="25"/>
        <v>52.53</v>
      </c>
      <c r="AW69">
        <f t="shared" si="71"/>
        <v>420.24</v>
      </c>
      <c r="AX69" t="str">
        <f t="shared" si="72"/>
        <v>Diferente</v>
      </c>
    </row>
    <row r="70" spans="1:50" x14ac:dyDescent="0.25">
      <c r="A70" t="s">
        <v>565</v>
      </c>
      <c r="B70" t="s">
        <v>566</v>
      </c>
      <c r="C70">
        <v>2000</v>
      </c>
      <c r="D70">
        <v>2340</v>
      </c>
      <c r="E70" t="s">
        <v>481</v>
      </c>
      <c r="F70" t="s">
        <v>478</v>
      </c>
      <c r="G70" t="s">
        <v>575</v>
      </c>
      <c r="H70" t="s">
        <v>576</v>
      </c>
      <c r="I70">
        <v>1</v>
      </c>
      <c r="J70" t="s">
        <v>549</v>
      </c>
      <c r="K70" t="s">
        <v>648</v>
      </c>
      <c r="L70">
        <v>2</v>
      </c>
      <c r="M70" s="18" t="str">
        <f t="shared" si="49"/>
        <v>032340091FERR2000-05023_2340</v>
      </c>
      <c r="N70" s="18" t="str">
        <f t="shared" si="50"/>
        <v>OSS</v>
      </c>
      <c r="O70" s="18" t="str">
        <f t="shared" si="51"/>
        <v>OSS2340</v>
      </c>
      <c r="P70" s="18" t="str">
        <f t="shared" si="52"/>
        <v>OSS2340Mecânica</v>
      </c>
      <c r="Q70" s="18" t="str">
        <f t="shared" si="53"/>
        <v>OSS2340MecânicaComissionamento</v>
      </c>
      <c r="R70" s="19" t="s">
        <v>653</v>
      </c>
      <c r="S70" s="18">
        <f t="shared" si="54"/>
        <v>4</v>
      </c>
      <c r="T70" s="18" t="str">
        <f t="shared" si="55"/>
        <v>EBN.OSS.2340.INM-01-0403</v>
      </c>
      <c r="U70" s="18" t="str">
        <f>IF(AND(J70&lt;&gt;"FIXO",E70="Fornecimento de Equipamento"),"#"&amp;montDes(E70,G70,H70),montDes(E70,G70,H70))</f>
        <v>Comissionamento - SOPRADOR TÉRMICO, 2 KW DE POTÊNCIA, TENSÃO 220 A 240V, 60 Hz, TEMPERATURA MÁXIMA 550ºC; PESO 750 g. COM ACESSÓRIOS INCLUSOS (Bocal 4pcs (bocal refletor, bocal protetor de vidro, bocal cônico, bocal rabo de peixe) – 1 RASPADOR – CABO DE PLASTICO - FERR2000-05023_2340</v>
      </c>
      <c r="V70" t="str">
        <f t="shared" si="56"/>
        <v>FERR2000-05023_2340</v>
      </c>
      <c r="W70" t="str">
        <f t="shared" si="57"/>
        <v>UN</v>
      </c>
      <c r="X70" t="s">
        <v>673</v>
      </c>
      <c r="Y70">
        <f t="shared" si="58"/>
        <v>1</v>
      </c>
      <c r="Z70" s="19" t="s">
        <v>720</v>
      </c>
      <c r="AA70" t="str">
        <f t="shared" si="59"/>
        <v>Comissionamento - Mecânica</v>
      </c>
      <c r="AB70" t="str">
        <f t="shared" si="60"/>
        <v>62151169</v>
      </c>
      <c r="AC70" t="str">
        <f>_xlfn.XLOOKUP(AA70,referencia!A:A,referencia!B:B,"Error",0,1)</f>
        <v>94002453</v>
      </c>
      <c r="AD70">
        <f t="shared" si="61"/>
        <v>2</v>
      </c>
      <c r="AE70" t="str">
        <f>IF(OR(E70 = "Fornecimento de Equipamento",E70 ="#Fornecimento de Equipamento"),codMateriais(C70,A70,Z70),"")</f>
        <v/>
      </c>
      <c r="AG70" t="str">
        <f t="shared" si="62"/>
        <v/>
      </c>
      <c r="AH70" t="str">
        <f t="shared" si="63"/>
        <v/>
      </c>
      <c r="AI70" t="str">
        <f t="shared" si="64"/>
        <v/>
      </c>
      <c r="AJ70" t="str">
        <f t="shared" si="65"/>
        <v/>
      </c>
      <c r="AK70">
        <f>IF(AND(E70 &lt;&gt; "*Supervisão*", E70 &lt;&gt; "Hookup Elétrico", E70 &lt;&gt; "Hookup Instrumentação", E70 &lt;&gt; "Hookup Tubulação"),VLOOKUP(AC70,referencia!$B$2:$C$29,2,FALSE),"")</f>
        <v>17.312874999999998</v>
      </c>
      <c r="AL70" t="str">
        <f t="shared" si="66"/>
        <v>62151169</v>
      </c>
      <c r="AM70">
        <f>IF(AND(E70 &lt;&gt; "*Supervisão*", E70 &lt;&gt; "Hookup Elétrico", E70 &lt;&gt; "Hookup Instrumentação", E70 &lt;&gt; "Hookup Tubulação"),IF(OR(E70 = "Fornecimento de Equipamento",E70 ="#Fornecimento de Equipamento"),AE70,VLOOKUP(AC70,referencia!$B$2:$D$29,3,FALSE)),"")</f>
        <v>23000004</v>
      </c>
      <c r="AN70">
        <f t="shared" si="73"/>
        <v>34.625749999999996</v>
      </c>
      <c r="AO70" t="str">
        <f>IF($E70 = "Preservação",VLOOKUP(AC70,referencia!$B$1:$G$29,6,FALSE),"")</f>
        <v/>
      </c>
      <c r="AP70" t="str">
        <f t="shared" si="67"/>
        <v/>
      </c>
      <c r="AQ70" t="str">
        <f>IF($E70 = "Preservação",VLOOKUP(AC70,referencia!$B$1:$F$29,5,FALSE),"")</f>
        <v/>
      </c>
      <c r="AR70" t="str">
        <f t="shared" si="68"/>
        <v/>
      </c>
      <c r="AS70">
        <f>VLOOKUP(AC70,referencia!$B$2:$E$29,4,FALSE)</f>
        <v>0.15</v>
      </c>
      <c r="AT70">
        <f t="shared" si="69"/>
        <v>39.819612499999998</v>
      </c>
      <c r="AU70">
        <f t="shared" si="70"/>
        <v>39.819612499999998</v>
      </c>
      <c r="AV70">
        <f t="shared" ref="AV70:AV89" si="74">ROUND(IF(AND(J70="MÓVEL",E70 = "#Fornecimento de Equipamento"),AT70*1.2376,AT70*1.3192),2)</f>
        <v>52.53</v>
      </c>
      <c r="AW70">
        <f t="shared" si="71"/>
        <v>52.53</v>
      </c>
      <c r="AX70" t="str">
        <f t="shared" si="72"/>
        <v>Diferente</v>
      </c>
    </row>
    <row r="71" spans="1:50" x14ac:dyDescent="0.25">
      <c r="A71" t="s">
        <v>565</v>
      </c>
      <c r="B71" t="s">
        <v>566</v>
      </c>
      <c r="C71">
        <v>2000</v>
      </c>
      <c r="D71">
        <v>2340</v>
      </c>
      <c r="E71" t="s">
        <v>481</v>
      </c>
      <c r="F71" t="s">
        <v>478</v>
      </c>
      <c r="G71" t="s">
        <v>579</v>
      </c>
      <c r="H71" t="s">
        <v>580</v>
      </c>
      <c r="I71">
        <v>1</v>
      </c>
      <c r="J71" t="s">
        <v>549</v>
      </c>
      <c r="K71" t="s">
        <v>648</v>
      </c>
      <c r="L71">
        <v>2</v>
      </c>
      <c r="M71" s="18" t="str">
        <f t="shared" si="49"/>
        <v>032340091FERR2000-05024_2340</v>
      </c>
      <c r="N71" s="18" t="str">
        <f t="shared" si="50"/>
        <v>OSS</v>
      </c>
      <c r="O71" s="18" t="str">
        <f t="shared" si="51"/>
        <v>OSS2340</v>
      </c>
      <c r="P71" s="18" t="str">
        <f t="shared" si="52"/>
        <v>OSS2340Mecânica</v>
      </c>
      <c r="Q71" s="18" t="str">
        <f t="shared" si="53"/>
        <v>OSS2340MecânicaComissionamento</v>
      </c>
      <c r="R71" s="19" t="s">
        <v>654</v>
      </c>
      <c r="S71" s="18">
        <f t="shared" si="54"/>
        <v>4</v>
      </c>
      <c r="T71" s="18" t="str">
        <f t="shared" si="55"/>
        <v>EBN.OSS.2340.INM-01-0404</v>
      </c>
      <c r="U71" s="18" t="str">
        <f>IF(AND(J71&lt;&gt;"FIXO",E71="Fornecimento de Equipamento"),"#"&amp;montDes(E71,G71,H71),montDes(E71,G71,H71))</f>
        <v>Comissionamento - Barra de bronze fosforoso, Ø 3/4", comprimnto 330 mm, dureza 120 HB, resistência a tração - 420N/mm², condutibilidade térmica 47W/mK; - FERR2000-05024_2340</v>
      </c>
      <c r="V71" t="str">
        <f t="shared" si="56"/>
        <v>FERR2000-05024_2340</v>
      </c>
      <c r="W71" t="str">
        <f t="shared" si="57"/>
        <v>UN</v>
      </c>
      <c r="X71" t="s">
        <v>673</v>
      </c>
      <c r="Y71">
        <f t="shared" si="58"/>
        <v>1</v>
      </c>
      <c r="Z71" s="19" t="s">
        <v>721</v>
      </c>
      <c r="AA71" t="str">
        <f t="shared" si="59"/>
        <v>Comissionamento - Mecânica</v>
      </c>
      <c r="AB71" t="str">
        <f t="shared" si="60"/>
        <v>62151170</v>
      </c>
      <c r="AC71" t="str">
        <f>_xlfn.XLOOKUP(AA71,referencia!A:A,referencia!B:B,"Error",0,1)</f>
        <v>94002453</v>
      </c>
      <c r="AD71">
        <f t="shared" si="61"/>
        <v>2</v>
      </c>
      <c r="AE71" t="str">
        <f>IF(OR(E71 = "Fornecimento de Equipamento",E71 ="#Fornecimento de Equipamento"),codMateriais(C71,A71,Z71),"")</f>
        <v/>
      </c>
      <c r="AG71" t="str">
        <f t="shared" si="62"/>
        <v/>
      </c>
      <c r="AH71" t="str">
        <f t="shared" si="63"/>
        <v/>
      </c>
      <c r="AI71" t="str">
        <f t="shared" si="64"/>
        <v/>
      </c>
      <c r="AJ71" t="str">
        <f t="shared" si="65"/>
        <v/>
      </c>
      <c r="AK71">
        <f>IF(AND(E71 &lt;&gt; "*Supervisão*", E71 &lt;&gt; "Hookup Elétrico", E71 &lt;&gt; "Hookup Instrumentação", E71 &lt;&gt; "Hookup Tubulação"),VLOOKUP(AC71,referencia!$B$2:$C$29,2,FALSE),"")</f>
        <v>17.312874999999998</v>
      </c>
      <c r="AL71" t="str">
        <f t="shared" si="66"/>
        <v>62151170</v>
      </c>
      <c r="AM71">
        <f>IF(AND(E71 &lt;&gt; "*Supervisão*", E71 &lt;&gt; "Hookup Elétrico", E71 &lt;&gt; "Hookup Instrumentação", E71 &lt;&gt; "Hookup Tubulação"),IF(OR(E71 = "Fornecimento de Equipamento",E71 ="#Fornecimento de Equipamento"),AE71,VLOOKUP(AC71,referencia!$B$2:$D$29,3,FALSE)),"")</f>
        <v>23000004</v>
      </c>
      <c r="AN71">
        <f t="shared" si="73"/>
        <v>34.625749999999996</v>
      </c>
      <c r="AO71" t="str">
        <f>IF($E71 = "Preservação",VLOOKUP(AC71,referencia!$B$1:$G$29,6,FALSE),"")</f>
        <v/>
      </c>
      <c r="AP71" t="str">
        <f t="shared" si="67"/>
        <v/>
      </c>
      <c r="AQ71" t="str">
        <f>IF($E71 = "Preservação",VLOOKUP(AC71,referencia!$B$1:$F$29,5,FALSE),"")</f>
        <v/>
      </c>
      <c r="AR71" t="str">
        <f t="shared" si="68"/>
        <v/>
      </c>
      <c r="AS71">
        <f>VLOOKUP(AC71,referencia!$B$2:$E$29,4,FALSE)</f>
        <v>0.15</v>
      </c>
      <c r="AT71">
        <f t="shared" si="69"/>
        <v>39.819612499999998</v>
      </c>
      <c r="AU71">
        <f t="shared" si="70"/>
        <v>39.819612499999998</v>
      </c>
      <c r="AV71">
        <f t="shared" si="74"/>
        <v>52.53</v>
      </c>
      <c r="AW71">
        <f t="shared" si="71"/>
        <v>52.53</v>
      </c>
      <c r="AX71" t="str">
        <f t="shared" si="72"/>
        <v>Diferente</v>
      </c>
    </row>
    <row r="72" spans="1:50" x14ac:dyDescent="0.25">
      <c r="A72" t="s">
        <v>565</v>
      </c>
      <c r="B72" t="s">
        <v>566</v>
      </c>
      <c r="C72">
        <v>2000</v>
      </c>
      <c r="D72">
        <v>2340</v>
      </c>
      <c r="E72" t="s">
        <v>481</v>
      </c>
      <c r="F72" t="s">
        <v>478</v>
      </c>
      <c r="G72" t="s">
        <v>583</v>
      </c>
      <c r="H72" t="s">
        <v>584</v>
      </c>
      <c r="I72">
        <v>2</v>
      </c>
      <c r="J72" t="s">
        <v>549</v>
      </c>
      <c r="K72" t="s">
        <v>648</v>
      </c>
      <c r="L72">
        <v>2</v>
      </c>
      <c r="M72" s="18" t="str">
        <f t="shared" si="49"/>
        <v>032340091FERR2000-05031_2340</v>
      </c>
      <c r="N72" s="18" t="str">
        <f t="shared" si="50"/>
        <v>OSS</v>
      </c>
      <c r="O72" s="18" t="str">
        <f t="shared" si="51"/>
        <v>OSS2340</v>
      </c>
      <c r="P72" s="18" t="str">
        <f t="shared" si="52"/>
        <v>OSS2340Mecânica</v>
      </c>
      <c r="Q72" s="18" t="str">
        <f t="shared" si="53"/>
        <v>OSS2340MecânicaComissionamento</v>
      </c>
      <c r="R72" s="19" t="s">
        <v>655</v>
      </c>
      <c r="S72" s="18">
        <f t="shared" si="54"/>
        <v>4</v>
      </c>
      <c r="T72" s="18" t="str">
        <f t="shared" si="55"/>
        <v>EBN.OSS.2340.INM-01-0405</v>
      </c>
      <c r="U72" s="18" t="str">
        <f>IF(AND(J72&lt;&gt;"FIXO",E72="Fornecimento de Equipamento"),"#"&amp;montDes(E72,G72,H72),montDes(E72,G72,H72))</f>
        <v>Comissionamento - Cabeça para chave dinamométrica - referência FACOM S.372 - quadrado de 1/2". - FERR2000-05031_2340</v>
      </c>
      <c r="V72" t="str">
        <f t="shared" si="56"/>
        <v>FERR2000-05031_2340</v>
      </c>
      <c r="W72" t="str">
        <f t="shared" si="57"/>
        <v>UN</v>
      </c>
      <c r="X72" t="s">
        <v>673</v>
      </c>
      <c r="Y72">
        <f t="shared" si="58"/>
        <v>2</v>
      </c>
      <c r="Z72" s="19" t="s">
        <v>722</v>
      </c>
      <c r="AA72" t="str">
        <f t="shared" si="59"/>
        <v>Comissionamento - Mecânica</v>
      </c>
      <c r="AB72" t="str">
        <f t="shared" si="60"/>
        <v>62151171</v>
      </c>
      <c r="AC72" t="str">
        <f>_xlfn.XLOOKUP(AA72,referencia!A:A,referencia!B:B,"Error",0,1)</f>
        <v>94002453</v>
      </c>
      <c r="AD72">
        <f t="shared" si="61"/>
        <v>2</v>
      </c>
      <c r="AE72" t="str">
        <f>IF(OR(E72 = "Fornecimento de Equipamento",E72 ="#Fornecimento de Equipamento"),codMateriais(C72,A72,Z72),"")</f>
        <v/>
      </c>
      <c r="AG72" t="str">
        <f t="shared" si="62"/>
        <v/>
      </c>
      <c r="AH72" t="str">
        <f t="shared" si="63"/>
        <v/>
      </c>
      <c r="AI72" t="str">
        <f t="shared" si="64"/>
        <v/>
      </c>
      <c r="AJ72" t="str">
        <f t="shared" si="65"/>
        <v/>
      </c>
      <c r="AK72">
        <f>IF(AND(E72 &lt;&gt; "*Supervisão*", E72 &lt;&gt; "Hookup Elétrico", E72 &lt;&gt; "Hookup Instrumentação", E72 &lt;&gt; "Hookup Tubulação"),VLOOKUP(AC72,referencia!$B$2:$C$29,2,FALSE),"")</f>
        <v>17.312874999999998</v>
      </c>
      <c r="AL72" t="str">
        <f t="shared" si="66"/>
        <v>62151171</v>
      </c>
      <c r="AM72">
        <f>IF(AND(E72 &lt;&gt; "*Supervisão*", E72 &lt;&gt; "Hookup Elétrico", E72 &lt;&gt; "Hookup Instrumentação", E72 &lt;&gt; "Hookup Tubulação"),IF(OR(E72 = "Fornecimento de Equipamento",E72 ="#Fornecimento de Equipamento"),AE72,VLOOKUP(AC72,referencia!$B$2:$D$29,3,FALSE)),"")</f>
        <v>23000004</v>
      </c>
      <c r="AN72">
        <f t="shared" si="73"/>
        <v>34.625749999999996</v>
      </c>
      <c r="AO72" t="str">
        <f>IF($E72 = "Preservação",VLOOKUP(AC72,referencia!$B$1:$G$29,6,FALSE),"")</f>
        <v/>
      </c>
      <c r="AP72" t="str">
        <f t="shared" si="67"/>
        <v/>
      </c>
      <c r="AQ72" t="str">
        <f>IF($E72 = "Preservação",VLOOKUP(AC72,referencia!$B$1:$F$29,5,FALSE),"")</f>
        <v/>
      </c>
      <c r="AR72" t="str">
        <f t="shared" si="68"/>
        <v/>
      </c>
      <c r="AS72">
        <f>VLOOKUP(AC72,referencia!$B$2:$E$29,4,FALSE)</f>
        <v>0.15</v>
      </c>
      <c r="AT72">
        <f t="shared" si="69"/>
        <v>39.819612499999998</v>
      </c>
      <c r="AU72">
        <f t="shared" si="70"/>
        <v>79.639224999999996</v>
      </c>
      <c r="AV72">
        <f t="shared" si="74"/>
        <v>52.53</v>
      </c>
      <c r="AW72">
        <f t="shared" si="71"/>
        <v>105.06</v>
      </c>
      <c r="AX72" t="str">
        <f t="shared" si="72"/>
        <v>Diferente</v>
      </c>
    </row>
    <row r="73" spans="1:50" x14ac:dyDescent="0.25">
      <c r="A73" t="s">
        <v>565</v>
      </c>
      <c r="B73" t="s">
        <v>566</v>
      </c>
      <c r="C73">
        <v>2000</v>
      </c>
      <c r="D73">
        <v>2340</v>
      </c>
      <c r="E73" t="s">
        <v>481</v>
      </c>
      <c r="F73" t="s">
        <v>478</v>
      </c>
      <c r="G73" t="s">
        <v>587</v>
      </c>
      <c r="H73" t="s">
        <v>588</v>
      </c>
      <c r="I73">
        <v>1</v>
      </c>
      <c r="J73" t="s">
        <v>549</v>
      </c>
      <c r="K73" t="s">
        <v>648</v>
      </c>
      <c r="L73">
        <v>2</v>
      </c>
      <c r="M73" s="18" t="str">
        <f t="shared" si="49"/>
        <v>032340091FERR2000-05032_2340</v>
      </c>
      <c r="N73" s="18" t="str">
        <f t="shared" si="50"/>
        <v>OSS</v>
      </c>
      <c r="O73" s="18" t="str">
        <f t="shared" si="51"/>
        <v>OSS2340</v>
      </c>
      <c r="P73" s="18" t="str">
        <f t="shared" si="52"/>
        <v>OSS2340Mecânica</v>
      </c>
      <c r="Q73" s="18" t="str">
        <f t="shared" si="53"/>
        <v>OSS2340MecânicaComissionamento</v>
      </c>
      <c r="R73" s="19" t="s">
        <v>656</v>
      </c>
      <c r="S73" s="18">
        <f t="shared" si="54"/>
        <v>4</v>
      </c>
      <c r="T73" s="18" t="str">
        <f t="shared" si="55"/>
        <v>EBN.OSS.2340.INM-01-0406</v>
      </c>
      <c r="U73" s="18" t="str">
        <f>IF(AND(J73&lt;&gt;"FIXO",E73="Fornecimento de Equipamento"),"#"&amp;montDes(E73,G73,H73),montDes(E73,G73,H73))</f>
        <v>Comissionamento - Cabeça para chave dinamométrica - referência STAHLWILLE - 14 x 18 mm. - FERR2000-05032_2340</v>
      </c>
      <c r="V73" t="str">
        <f t="shared" si="56"/>
        <v>FERR2000-05032_2340</v>
      </c>
      <c r="W73" t="str">
        <f t="shared" si="57"/>
        <v>UN</v>
      </c>
      <c r="X73" t="s">
        <v>673</v>
      </c>
      <c r="Y73">
        <f t="shared" si="58"/>
        <v>1</v>
      </c>
      <c r="Z73" s="19" t="s">
        <v>723</v>
      </c>
      <c r="AA73" t="str">
        <f t="shared" si="59"/>
        <v>Comissionamento - Mecânica</v>
      </c>
      <c r="AB73" t="str">
        <f t="shared" si="60"/>
        <v>62151172</v>
      </c>
      <c r="AC73" t="str">
        <f>_xlfn.XLOOKUP(AA73,referencia!A:A,referencia!B:B,"Error",0,1)</f>
        <v>94002453</v>
      </c>
      <c r="AD73">
        <f t="shared" si="61"/>
        <v>2</v>
      </c>
      <c r="AE73" t="str">
        <f>IF(OR(E73 = "Fornecimento de Equipamento",E73 ="#Fornecimento de Equipamento"),codMateriais(C73,A73,Z73),"")</f>
        <v/>
      </c>
      <c r="AG73" t="str">
        <f t="shared" si="62"/>
        <v/>
      </c>
      <c r="AH73" t="str">
        <f t="shared" si="63"/>
        <v/>
      </c>
      <c r="AI73" t="str">
        <f t="shared" si="64"/>
        <v/>
      </c>
      <c r="AJ73" t="str">
        <f t="shared" si="65"/>
        <v/>
      </c>
      <c r="AK73">
        <f>IF(AND(E73 &lt;&gt; "*Supervisão*", E73 &lt;&gt; "Hookup Elétrico", E73 &lt;&gt; "Hookup Instrumentação", E73 &lt;&gt; "Hookup Tubulação"),VLOOKUP(AC73,referencia!$B$2:$C$29,2,FALSE),"")</f>
        <v>17.312874999999998</v>
      </c>
      <c r="AL73" t="str">
        <f t="shared" si="66"/>
        <v>62151172</v>
      </c>
      <c r="AM73">
        <f>IF(AND(E73 &lt;&gt; "*Supervisão*", E73 &lt;&gt; "Hookup Elétrico", E73 &lt;&gt; "Hookup Instrumentação", E73 &lt;&gt; "Hookup Tubulação"),IF(OR(E73 = "Fornecimento de Equipamento",E73 ="#Fornecimento de Equipamento"),AE73,VLOOKUP(AC73,referencia!$B$2:$D$29,3,FALSE)),"")</f>
        <v>23000004</v>
      </c>
      <c r="AN73">
        <f t="shared" si="73"/>
        <v>34.625749999999996</v>
      </c>
      <c r="AO73" t="str">
        <f>IF($E73 = "Preservação",VLOOKUP(AC73,referencia!$B$1:$G$29,6,FALSE),"")</f>
        <v/>
      </c>
      <c r="AP73" t="str">
        <f t="shared" si="67"/>
        <v/>
      </c>
      <c r="AQ73" t="str">
        <f>IF($E73 = "Preservação",VLOOKUP(AC73,referencia!$B$1:$F$29,5,FALSE),"")</f>
        <v/>
      </c>
      <c r="AR73" t="str">
        <f t="shared" si="68"/>
        <v/>
      </c>
      <c r="AS73">
        <f>VLOOKUP(AC73,referencia!$B$2:$E$29,4,FALSE)</f>
        <v>0.15</v>
      </c>
      <c r="AT73">
        <f t="shared" si="69"/>
        <v>39.819612499999998</v>
      </c>
      <c r="AU73">
        <f t="shared" si="70"/>
        <v>39.819612499999998</v>
      </c>
      <c r="AV73">
        <f t="shared" si="74"/>
        <v>52.53</v>
      </c>
      <c r="AW73">
        <f t="shared" si="71"/>
        <v>52.53</v>
      </c>
      <c r="AX73" t="str">
        <f t="shared" si="72"/>
        <v>Diferente</v>
      </c>
    </row>
    <row r="74" spans="1:50" x14ac:dyDescent="0.25">
      <c r="A74" t="s">
        <v>565</v>
      </c>
      <c r="B74" t="s">
        <v>566</v>
      </c>
      <c r="C74">
        <v>2000</v>
      </c>
      <c r="D74">
        <v>2340</v>
      </c>
      <c r="E74" t="s">
        <v>481</v>
      </c>
      <c r="F74" t="s">
        <v>478</v>
      </c>
      <c r="G74" t="s">
        <v>591</v>
      </c>
      <c r="H74" t="s">
        <v>592</v>
      </c>
      <c r="I74">
        <v>1</v>
      </c>
      <c r="J74" t="s">
        <v>549</v>
      </c>
      <c r="K74" t="s">
        <v>648</v>
      </c>
      <c r="L74">
        <v>2</v>
      </c>
      <c r="M74" s="18" t="str">
        <f t="shared" si="49"/>
        <v>032340091FERR2000-05033_2340</v>
      </c>
      <c r="N74" s="18" t="str">
        <f t="shared" si="50"/>
        <v>OSS</v>
      </c>
      <c r="O74" s="18" t="str">
        <f t="shared" si="51"/>
        <v>OSS2340</v>
      </c>
      <c r="P74" s="18" t="str">
        <f t="shared" si="52"/>
        <v>OSS2340Mecânica</v>
      </c>
      <c r="Q74" s="18" t="str">
        <f t="shared" si="53"/>
        <v>OSS2340MecânicaComissionamento</v>
      </c>
      <c r="R74" s="19" t="s">
        <v>657</v>
      </c>
      <c r="S74" s="18">
        <f t="shared" si="54"/>
        <v>4</v>
      </c>
      <c r="T74" s="18" t="str">
        <f t="shared" si="55"/>
        <v>EBN.OSS.2340.INM-01-0407</v>
      </c>
      <c r="U74" s="18" t="str">
        <f>IF(AND(J74&lt;&gt;"FIXO",E74="Fornecimento de Equipamento"),"#"&amp;montDes(E74,G74,H74),montDes(E74,G74,H74))</f>
        <v>Comissionamento - Chave de fenda unidirecional, torque à direita, Classe II tipo D (manutenção A.400), Saída hexagonal fêmea para uso com bit de 1/4", Unidade ECR 1/4" - 1/4" para tomadas e acessórios opcionais, Encaixe de 1/4" no cabo para uso com cabo de catraca tipo A.3 - FERR2000-05033_2340</v>
      </c>
      <c r="V74" t="str">
        <f t="shared" si="56"/>
        <v>FERR2000-05033_2340</v>
      </c>
      <c r="W74" t="str">
        <f t="shared" si="57"/>
        <v>UN</v>
      </c>
      <c r="X74" t="s">
        <v>673</v>
      </c>
      <c r="Y74">
        <f t="shared" si="58"/>
        <v>1</v>
      </c>
      <c r="Z74" s="19" t="s">
        <v>724</v>
      </c>
      <c r="AA74" t="str">
        <f t="shared" si="59"/>
        <v>Comissionamento - Mecânica</v>
      </c>
      <c r="AB74" t="str">
        <f t="shared" si="60"/>
        <v>62151173</v>
      </c>
      <c r="AC74" t="str">
        <f>_xlfn.XLOOKUP(AA74,referencia!A:A,referencia!B:B,"Error",0,1)</f>
        <v>94002453</v>
      </c>
      <c r="AD74">
        <f t="shared" si="61"/>
        <v>2</v>
      </c>
      <c r="AE74" t="str">
        <f>IF(OR(E74 = "Fornecimento de Equipamento",E74 ="#Fornecimento de Equipamento"),codMateriais(C74,A74,Z74),"")</f>
        <v/>
      </c>
      <c r="AG74" t="str">
        <f t="shared" si="62"/>
        <v/>
      </c>
      <c r="AH74" t="str">
        <f t="shared" si="63"/>
        <v/>
      </c>
      <c r="AI74" t="str">
        <f t="shared" si="64"/>
        <v/>
      </c>
      <c r="AJ74" t="str">
        <f t="shared" si="65"/>
        <v/>
      </c>
      <c r="AK74">
        <f>IF(AND(E74 &lt;&gt; "*Supervisão*", E74 &lt;&gt; "Hookup Elétrico", E74 &lt;&gt; "Hookup Instrumentação", E74 &lt;&gt; "Hookup Tubulação"),VLOOKUP(AC74,referencia!$B$2:$C$29,2,FALSE),"")</f>
        <v>17.312874999999998</v>
      </c>
      <c r="AL74" t="str">
        <f t="shared" si="66"/>
        <v>62151173</v>
      </c>
      <c r="AM74">
        <f>IF(AND(E74 &lt;&gt; "*Supervisão*", E74 &lt;&gt; "Hookup Elétrico", E74 &lt;&gt; "Hookup Instrumentação", E74 &lt;&gt; "Hookup Tubulação"),IF(OR(E74 = "Fornecimento de Equipamento",E74 ="#Fornecimento de Equipamento"),AE74,VLOOKUP(AC74,referencia!$B$2:$D$29,3,FALSE)),"")</f>
        <v>23000004</v>
      </c>
      <c r="AN74">
        <f t="shared" si="73"/>
        <v>34.625749999999996</v>
      </c>
      <c r="AO74" t="str">
        <f>IF($E74 = "Preservação",VLOOKUP(AC74,referencia!$B$1:$G$29,6,FALSE),"")</f>
        <v/>
      </c>
      <c r="AP74" t="str">
        <f t="shared" si="67"/>
        <v/>
      </c>
      <c r="AQ74" t="str">
        <f>IF($E74 = "Preservação",VLOOKUP(AC74,referencia!$B$1:$F$29,5,FALSE),"")</f>
        <v/>
      </c>
      <c r="AR74" t="str">
        <f t="shared" si="68"/>
        <v/>
      </c>
      <c r="AS74">
        <f>VLOOKUP(AC74,referencia!$B$2:$E$29,4,FALSE)</f>
        <v>0.15</v>
      </c>
      <c r="AT74">
        <f t="shared" si="69"/>
        <v>39.819612499999998</v>
      </c>
      <c r="AU74">
        <f t="shared" si="70"/>
        <v>39.819612499999998</v>
      </c>
      <c r="AV74">
        <f t="shared" si="74"/>
        <v>52.53</v>
      </c>
      <c r="AW74">
        <f t="shared" si="71"/>
        <v>52.53</v>
      </c>
      <c r="AX74" t="str">
        <f t="shared" si="72"/>
        <v>Diferente</v>
      </c>
    </row>
    <row r="75" spans="1:50" x14ac:dyDescent="0.25">
      <c r="A75" t="s">
        <v>565</v>
      </c>
      <c r="B75" t="s">
        <v>566</v>
      </c>
      <c r="C75">
        <v>2000</v>
      </c>
      <c r="D75">
        <v>2340</v>
      </c>
      <c r="E75" t="s">
        <v>481</v>
      </c>
      <c r="F75" t="s">
        <v>478</v>
      </c>
      <c r="G75" t="s">
        <v>591</v>
      </c>
      <c r="H75" t="s">
        <v>595</v>
      </c>
      <c r="I75">
        <v>1</v>
      </c>
      <c r="J75" t="s">
        <v>549</v>
      </c>
      <c r="K75" t="s">
        <v>648</v>
      </c>
      <c r="L75">
        <v>2</v>
      </c>
      <c r="M75" s="18" t="str">
        <f t="shared" si="49"/>
        <v>032340091FERR2000-05034_2340</v>
      </c>
      <c r="N75" s="18" t="str">
        <f t="shared" si="50"/>
        <v>OSS</v>
      </c>
      <c r="O75" s="18" t="str">
        <f t="shared" si="51"/>
        <v>OSS2340</v>
      </c>
      <c r="P75" s="18" t="str">
        <f t="shared" si="52"/>
        <v>OSS2340Mecânica</v>
      </c>
      <c r="Q75" s="18" t="str">
        <f t="shared" si="53"/>
        <v>OSS2340MecânicaComissionamento</v>
      </c>
      <c r="R75" s="19" t="s">
        <v>658</v>
      </c>
      <c r="S75" s="18">
        <f t="shared" si="54"/>
        <v>4</v>
      </c>
      <c r="T75" s="18" t="str">
        <f t="shared" si="55"/>
        <v>EBN.OSS.2340.INM-01-0408</v>
      </c>
      <c r="U75" s="18" t="str">
        <f>IF(AND(J75&lt;&gt;"FIXO",E75="Fornecimento de Equipamento"),"#"&amp;montDes(E75,G75,H75),montDes(E75,G75,H75))</f>
        <v>Comissionamento - Chave de fenda unidirecional, torque à direita, Classe II tipo D (manutenção A.400), Saída hexagonal fêmea para uso com bit de 1/4", Unidade ECR 1/4" - 1/4" para tomadas e acessórios opcionais, Encaixe de 1/4" no cabo para uso com cabo de catraca tipo A.3 - FERR2000-05034_2340</v>
      </c>
      <c r="V75" t="str">
        <f t="shared" si="56"/>
        <v>FERR2000-05034_2340</v>
      </c>
      <c r="W75" t="str">
        <f t="shared" si="57"/>
        <v>UN</v>
      </c>
      <c r="X75" t="s">
        <v>673</v>
      </c>
      <c r="Y75">
        <f t="shared" si="58"/>
        <v>1</v>
      </c>
      <c r="Z75" s="19" t="s">
        <v>725</v>
      </c>
      <c r="AA75" t="str">
        <f t="shared" si="59"/>
        <v>Comissionamento - Mecânica</v>
      </c>
      <c r="AB75" t="str">
        <f t="shared" si="60"/>
        <v>62151174</v>
      </c>
      <c r="AC75" t="str">
        <f>_xlfn.XLOOKUP(AA75,referencia!A:A,referencia!B:B,"Error",0,1)</f>
        <v>94002453</v>
      </c>
      <c r="AD75">
        <f t="shared" si="61"/>
        <v>2</v>
      </c>
      <c r="AE75" t="str">
        <f>IF(OR(E75 = "Fornecimento de Equipamento",E75 ="#Fornecimento de Equipamento"),codMateriais(C75,A75,Z75),"")</f>
        <v/>
      </c>
      <c r="AG75" t="str">
        <f t="shared" si="62"/>
        <v/>
      </c>
      <c r="AH75" t="str">
        <f t="shared" si="63"/>
        <v/>
      </c>
      <c r="AI75" t="str">
        <f t="shared" si="64"/>
        <v/>
      </c>
      <c r="AJ75" t="str">
        <f t="shared" si="65"/>
        <v/>
      </c>
      <c r="AK75">
        <f>IF(AND(E75 &lt;&gt; "*Supervisão*", E75 &lt;&gt; "Hookup Elétrico", E75 &lt;&gt; "Hookup Instrumentação", E75 &lt;&gt; "Hookup Tubulação"),VLOOKUP(AC75,referencia!$B$2:$C$29,2,FALSE),"")</f>
        <v>17.312874999999998</v>
      </c>
      <c r="AL75" t="str">
        <f t="shared" si="66"/>
        <v>62151174</v>
      </c>
      <c r="AM75">
        <f>IF(AND(E75 &lt;&gt; "*Supervisão*", E75 &lt;&gt; "Hookup Elétrico", E75 &lt;&gt; "Hookup Instrumentação", E75 &lt;&gt; "Hookup Tubulação"),IF(OR(E75 = "Fornecimento de Equipamento",E75 ="#Fornecimento de Equipamento"),AE75,VLOOKUP(AC75,referencia!$B$2:$D$29,3,FALSE)),"")</f>
        <v>23000004</v>
      </c>
      <c r="AN75">
        <f t="shared" si="73"/>
        <v>34.625749999999996</v>
      </c>
      <c r="AO75" t="str">
        <f>IF($E75 = "Preservação",VLOOKUP(AC75,referencia!$B$1:$G$29,6,FALSE),"")</f>
        <v/>
      </c>
      <c r="AP75" t="str">
        <f t="shared" si="67"/>
        <v/>
      </c>
      <c r="AQ75" t="str">
        <f>IF($E75 = "Preservação",VLOOKUP(AC75,referencia!$B$1:$F$29,5,FALSE),"")</f>
        <v/>
      </c>
      <c r="AR75" t="str">
        <f t="shared" si="68"/>
        <v/>
      </c>
      <c r="AS75">
        <f>VLOOKUP(AC75,referencia!$B$2:$E$29,4,FALSE)</f>
        <v>0.15</v>
      </c>
      <c r="AT75">
        <f t="shared" si="69"/>
        <v>39.819612499999998</v>
      </c>
      <c r="AU75">
        <f t="shared" si="70"/>
        <v>39.819612499999998</v>
      </c>
      <c r="AV75">
        <f t="shared" si="74"/>
        <v>52.53</v>
      </c>
      <c r="AW75">
        <f t="shared" si="71"/>
        <v>52.53</v>
      </c>
      <c r="AX75" t="str">
        <f t="shared" si="72"/>
        <v>Diferente</v>
      </c>
    </row>
    <row r="76" spans="1:50" x14ac:dyDescent="0.25">
      <c r="A76" t="s">
        <v>565</v>
      </c>
      <c r="B76" t="s">
        <v>566</v>
      </c>
      <c r="C76">
        <v>2000</v>
      </c>
      <c r="D76">
        <v>2340</v>
      </c>
      <c r="E76" t="s">
        <v>481</v>
      </c>
      <c r="F76" t="s">
        <v>478</v>
      </c>
      <c r="G76" t="s">
        <v>598</v>
      </c>
      <c r="H76" t="s">
        <v>599</v>
      </c>
      <c r="I76">
        <v>1</v>
      </c>
      <c r="J76" t="s">
        <v>549</v>
      </c>
      <c r="K76" t="s">
        <v>648</v>
      </c>
      <c r="L76">
        <v>2</v>
      </c>
      <c r="M76" s="18" t="str">
        <f t="shared" si="49"/>
        <v>032340091FERR2000-05035_2340</v>
      </c>
      <c r="N76" s="18" t="str">
        <f t="shared" si="50"/>
        <v>OSS</v>
      </c>
      <c r="O76" s="18" t="str">
        <f t="shared" si="51"/>
        <v>OSS2340</v>
      </c>
      <c r="P76" s="18" t="str">
        <f t="shared" si="52"/>
        <v>OSS2340Mecânica</v>
      </c>
      <c r="Q76" s="18" t="str">
        <f t="shared" si="53"/>
        <v>OSS2340MecânicaComissionamento</v>
      </c>
      <c r="R76" s="19" t="s">
        <v>659</v>
      </c>
      <c r="S76" s="18">
        <f t="shared" si="54"/>
        <v>4</v>
      </c>
      <c r="T76" s="18" t="str">
        <f t="shared" si="55"/>
        <v>EBN.OSS.2340.INM-01-0409</v>
      </c>
      <c r="U76" s="18" t="str">
        <f>IF(AND(J76&lt;&gt;"FIXO",E76="Fornecimento de Equipamento"),"#"&amp;montDes(E76,G76,H76),montDes(E76,G76,H76))</f>
        <v>Comissionamento - Chave de fenda leve e compacta para carga de baixo torque. Torque à direita. - FERR2000-05035_2340</v>
      </c>
      <c r="V76" t="str">
        <f t="shared" si="56"/>
        <v>FERR2000-05035_2340</v>
      </c>
      <c r="W76" t="str">
        <f t="shared" si="57"/>
        <v>UN</v>
      </c>
      <c r="X76" t="s">
        <v>673</v>
      </c>
      <c r="Y76">
        <f t="shared" si="58"/>
        <v>1</v>
      </c>
      <c r="Z76" s="19" t="s">
        <v>726</v>
      </c>
      <c r="AA76" t="str">
        <f t="shared" si="59"/>
        <v>Comissionamento - Mecânica</v>
      </c>
      <c r="AB76" t="str">
        <f t="shared" si="60"/>
        <v>62151175</v>
      </c>
      <c r="AC76" t="str">
        <f>_xlfn.XLOOKUP(AA76,referencia!A:A,referencia!B:B,"Error",0,1)</f>
        <v>94002453</v>
      </c>
      <c r="AD76">
        <f t="shared" si="61"/>
        <v>2</v>
      </c>
      <c r="AE76" t="str">
        <f>IF(OR(E76 = "Fornecimento de Equipamento",E76 ="#Fornecimento de Equipamento"),codMateriais(C76,A76,Z76),"")</f>
        <v/>
      </c>
      <c r="AG76" t="str">
        <f t="shared" si="62"/>
        <v/>
      </c>
      <c r="AH76" t="str">
        <f t="shared" si="63"/>
        <v/>
      </c>
      <c r="AI76" t="str">
        <f t="shared" si="64"/>
        <v/>
      </c>
      <c r="AJ76" t="str">
        <f t="shared" si="65"/>
        <v/>
      </c>
      <c r="AK76">
        <f>IF(AND(E76 &lt;&gt; "*Supervisão*", E76 &lt;&gt; "Hookup Elétrico", E76 &lt;&gt; "Hookup Instrumentação", E76 &lt;&gt; "Hookup Tubulação"),VLOOKUP(AC76,referencia!$B$2:$C$29,2,FALSE),"")</f>
        <v>17.312874999999998</v>
      </c>
      <c r="AL76" t="str">
        <f t="shared" si="66"/>
        <v>62151175</v>
      </c>
      <c r="AM76">
        <f>IF(AND(E76 &lt;&gt; "*Supervisão*", E76 &lt;&gt; "Hookup Elétrico", E76 &lt;&gt; "Hookup Instrumentação", E76 &lt;&gt; "Hookup Tubulação"),IF(OR(E76 = "Fornecimento de Equipamento",E76 ="#Fornecimento de Equipamento"),AE76,VLOOKUP(AC76,referencia!$B$2:$D$29,3,FALSE)),"")</f>
        <v>23000004</v>
      </c>
      <c r="AN76">
        <f t="shared" si="73"/>
        <v>34.625749999999996</v>
      </c>
      <c r="AO76" t="str">
        <f>IF($E76 = "Preservação",VLOOKUP(AC76,referencia!$B$1:$G$29,6,FALSE),"")</f>
        <v/>
      </c>
      <c r="AP76" t="str">
        <f t="shared" si="67"/>
        <v/>
      </c>
      <c r="AQ76" t="str">
        <f>IF($E76 = "Preservação",VLOOKUP(AC76,referencia!$B$1:$F$29,5,FALSE),"")</f>
        <v/>
      </c>
      <c r="AR76" t="str">
        <f t="shared" si="68"/>
        <v/>
      </c>
      <c r="AS76">
        <f>VLOOKUP(AC76,referencia!$B$2:$E$29,4,FALSE)</f>
        <v>0.15</v>
      </c>
      <c r="AT76">
        <f t="shared" si="69"/>
        <v>39.819612499999998</v>
      </c>
      <c r="AU76">
        <f t="shared" si="70"/>
        <v>39.819612499999998</v>
      </c>
      <c r="AV76">
        <f t="shared" si="74"/>
        <v>52.53</v>
      </c>
      <c r="AW76">
        <f t="shared" si="71"/>
        <v>52.53</v>
      </c>
      <c r="AX76" t="str">
        <f t="shared" si="72"/>
        <v>Diferente</v>
      </c>
    </row>
    <row r="77" spans="1:50" x14ac:dyDescent="0.25">
      <c r="A77" t="s">
        <v>565</v>
      </c>
      <c r="B77" t="s">
        <v>566</v>
      </c>
      <c r="C77">
        <v>2000</v>
      </c>
      <c r="D77">
        <v>2340</v>
      </c>
      <c r="E77" t="s">
        <v>481</v>
      </c>
      <c r="F77" t="s">
        <v>478</v>
      </c>
      <c r="G77" t="s">
        <v>602</v>
      </c>
      <c r="H77" t="s">
        <v>603</v>
      </c>
      <c r="I77">
        <v>1</v>
      </c>
      <c r="J77" t="s">
        <v>549</v>
      </c>
      <c r="K77" t="s">
        <v>648</v>
      </c>
      <c r="L77">
        <v>2</v>
      </c>
      <c r="M77" s="18" t="str">
        <f t="shared" si="49"/>
        <v>032340091FERR2000-05037_2340</v>
      </c>
      <c r="N77" s="18" t="str">
        <f t="shared" si="50"/>
        <v>OSS</v>
      </c>
      <c r="O77" s="18" t="str">
        <f t="shared" si="51"/>
        <v>OSS2340</v>
      </c>
      <c r="P77" s="18" t="str">
        <f t="shared" si="52"/>
        <v>OSS2340Mecânica</v>
      </c>
      <c r="Q77" s="18" t="str">
        <f t="shared" si="53"/>
        <v>OSS2340MecânicaComissionamento</v>
      </c>
      <c r="R77" s="19" t="s">
        <v>660</v>
      </c>
      <c r="S77" s="18">
        <f t="shared" si="54"/>
        <v>4</v>
      </c>
      <c r="T77" s="18" t="str">
        <f t="shared" si="55"/>
        <v>EBN.OSS.2340.INM-01-0410</v>
      </c>
      <c r="U77" s="18" t="str">
        <f>IF(AND(J77&lt;&gt;"FIXO",E77="Fornecimento de Equipamento"),"#"&amp;montDes(E77,G77,H77),montDes(E77,G77,H77))</f>
        <v>Comissionamento - Jogo de soquetes com bit hexagonal, encaixe 1/4" com as seguintes medidas (5, 6, 7, 8, 10, 12, 14, 17 e 19 mm) - FERR2000-05037_2340</v>
      </c>
      <c r="V77" t="str">
        <f t="shared" si="56"/>
        <v>FERR2000-05037_2340</v>
      </c>
      <c r="W77" t="str">
        <f t="shared" si="57"/>
        <v>UN</v>
      </c>
      <c r="X77" t="s">
        <v>673</v>
      </c>
      <c r="Y77">
        <f t="shared" si="58"/>
        <v>1</v>
      </c>
      <c r="Z77" s="19" t="s">
        <v>727</v>
      </c>
      <c r="AA77" t="str">
        <f t="shared" si="59"/>
        <v>Comissionamento - Mecânica</v>
      </c>
      <c r="AB77" t="str">
        <f t="shared" si="60"/>
        <v>62151176</v>
      </c>
      <c r="AC77" t="str">
        <f>_xlfn.XLOOKUP(AA77,referencia!A:A,referencia!B:B,"Error",0,1)</f>
        <v>94002453</v>
      </c>
      <c r="AD77">
        <f t="shared" si="61"/>
        <v>2</v>
      </c>
      <c r="AE77" t="str">
        <f>IF(OR(E77 = "Fornecimento de Equipamento",E77 ="#Fornecimento de Equipamento"),codMateriais(C77,A77,Z77),"")</f>
        <v/>
      </c>
      <c r="AG77" t="str">
        <f t="shared" si="62"/>
        <v/>
      </c>
      <c r="AH77" t="str">
        <f t="shared" si="63"/>
        <v/>
      </c>
      <c r="AI77" t="str">
        <f t="shared" si="64"/>
        <v/>
      </c>
      <c r="AJ77" t="str">
        <f t="shared" si="65"/>
        <v/>
      </c>
      <c r="AK77">
        <f>IF(AND(E77 &lt;&gt; "*Supervisão*", E77 &lt;&gt; "Hookup Elétrico", E77 &lt;&gt; "Hookup Instrumentação", E77 &lt;&gt; "Hookup Tubulação"),VLOOKUP(AC77,referencia!$B$2:$C$29,2,FALSE),"")</f>
        <v>17.312874999999998</v>
      </c>
      <c r="AL77" t="str">
        <f t="shared" si="66"/>
        <v>62151176</v>
      </c>
      <c r="AM77">
        <f>IF(AND(E77 &lt;&gt; "*Supervisão*", E77 &lt;&gt; "Hookup Elétrico", E77 &lt;&gt; "Hookup Instrumentação", E77 &lt;&gt; "Hookup Tubulação"),IF(OR(E77 = "Fornecimento de Equipamento",E77 ="#Fornecimento de Equipamento"),AE77,VLOOKUP(AC77,referencia!$B$2:$D$29,3,FALSE)),"")</f>
        <v>23000004</v>
      </c>
      <c r="AN77">
        <f t="shared" si="73"/>
        <v>34.625749999999996</v>
      </c>
      <c r="AO77" t="str">
        <f>IF($E77 = "Preservação",VLOOKUP(AC77,referencia!$B$1:$G$29,6,FALSE),"")</f>
        <v/>
      </c>
      <c r="AP77" t="str">
        <f t="shared" si="67"/>
        <v/>
      </c>
      <c r="AQ77" t="str">
        <f>IF($E77 = "Preservação",VLOOKUP(AC77,referencia!$B$1:$F$29,5,FALSE),"")</f>
        <v/>
      </c>
      <c r="AR77" t="str">
        <f t="shared" si="68"/>
        <v/>
      </c>
      <c r="AS77">
        <f>VLOOKUP(AC77,referencia!$B$2:$E$29,4,FALSE)</f>
        <v>0.15</v>
      </c>
      <c r="AT77">
        <f t="shared" si="69"/>
        <v>39.819612499999998</v>
      </c>
      <c r="AU77">
        <f t="shared" si="70"/>
        <v>39.819612499999998</v>
      </c>
      <c r="AV77">
        <f t="shared" si="74"/>
        <v>52.53</v>
      </c>
      <c r="AW77">
        <f t="shared" si="71"/>
        <v>52.53</v>
      </c>
      <c r="AX77" t="str">
        <f t="shared" si="72"/>
        <v>Diferente</v>
      </c>
    </row>
    <row r="78" spans="1:50" x14ac:dyDescent="0.25">
      <c r="A78" t="s">
        <v>565</v>
      </c>
      <c r="B78" t="s">
        <v>566</v>
      </c>
      <c r="C78">
        <v>2000</v>
      </c>
      <c r="D78">
        <v>2340</v>
      </c>
      <c r="E78" t="s">
        <v>481</v>
      </c>
      <c r="F78" t="s">
        <v>478</v>
      </c>
      <c r="G78" t="s">
        <v>606</v>
      </c>
      <c r="H78" t="s">
        <v>607</v>
      </c>
      <c r="I78">
        <v>1</v>
      </c>
      <c r="J78" t="s">
        <v>549</v>
      </c>
      <c r="K78" t="s">
        <v>648</v>
      </c>
      <c r="L78">
        <v>2</v>
      </c>
      <c r="M78" s="18" t="str">
        <f t="shared" si="49"/>
        <v>032340091FERR2000-05038_2340</v>
      </c>
      <c r="N78" s="18" t="str">
        <f t="shared" si="50"/>
        <v>OSS</v>
      </c>
      <c r="O78" s="18" t="str">
        <f t="shared" si="51"/>
        <v>OSS2340</v>
      </c>
      <c r="P78" s="18" t="str">
        <f t="shared" si="52"/>
        <v>OSS2340Mecânica</v>
      </c>
      <c r="Q78" s="18" t="str">
        <f t="shared" si="53"/>
        <v>OSS2340MecânicaComissionamento</v>
      </c>
      <c r="R78" s="19" t="s">
        <v>661</v>
      </c>
      <c r="S78" s="18">
        <f t="shared" si="54"/>
        <v>4</v>
      </c>
      <c r="T78" s="18" t="str">
        <f t="shared" si="55"/>
        <v>EBN.OSS.2340.INM-01-0411</v>
      </c>
      <c r="U78" s="18" t="str">
        <f>IF(AND(J78&lt;&gt;"FIXO",E78="Fornecimento de Equipamento"),"#"&amp;montDes(E78,G78,H78),montDes(E78,G78,H78))</f>
        <v>Comissionamento - Ponta de chave de fenda, torx T6, encaixe sextavado 1/4", comprimento total 150mm. - FERR2000-05038_2340</v>
      </c>
      <c r="V78" t="str">
        <f t="shared" si="56"/>
        <v>FERR2000-05038_2340</v>
      </c>
      <c r="W78" t="str">
        <f t="shared" si="57"/>
        <v>UN</v>
      </c>
      <c r="X78" t="s">
        <v>673</v>
      </c>
      <c r="Y78">
        <f t="shared" si="58"/>
        <v>1</v>
      </c>
      <c r="Z78" s="19" t="s">
        <v>728</v>
      </c>
      <c r="AA78" t="str">
        <f t="shared" si="59"/>
        <v>Comissionamento - Mecânica</v>
      </c>
      <c r="AB78" t="str">
        <f t="shared" si="60"/>
        <v>62151177</v>
      </c>
      <c r="AC78" t="str">
        <f>_xlfn.XLOOKUP(AA78,referencia!A:A,referencia!B:B,"Error",0,1)</f>
        <v>94002453</v>
      </c>
      <c r="AD78">
        <f t="shared" si="61"/>
        <v>2</v>
      </c>
      <c r="AE78" t="str">
        <f>IF(OR(E78 = "Fornecimento de Equipamento",E78 ="#Fornecimento de Equipamento"),codMateriais(C78,A78,Z78),"")</f>
        <v/>
      </c>
      <c r="AG78" t="str">
        <f t="shared" si="62"/>
        <v/>
      </c>
      <c r="AH78" t="str">
        <f t="shared" si="63"/>
        <v/>
      </c>
      <c r="AI78" t="str">
        <f t="shared" si="64"/>
        <v/>
      </c>
      <c r="AJ78" t="str">
        <f t="shared" si="65"/>
        <v/>
      </c>
      <c r="AK78">
        <f>IF(AND(E78 &lt;&gt; "*Supervisão*", E78 &lt;&gt; "Hookup Elétrico", E78 &lt;&gt; "Hookup Instrumentação", E78 &lt;&gt; "Hookup Tubulação"),VLOOKUP(AC78,referencia!$B$2:$C$29,2,FALSE),"")</f>
        <v>17.312874999999998</v>
      </c>
      <c r="AL78" t="str">
        <f t="shared" si="66"/>
        <v>62151177</v>
      </c>
      <c r="AM78">
        <f>IF(AND(E78 &lt;&gt; "*Supervisão*", E78 &lt;&gt; "Hookup Elétrico", E78 &lt;&gt; "Hookup Instrumentação", E78 &lt;&gt; "Hookup Tubulação"),IF(OR(E78 = "Fornecimento de Equipamento",E78 ="#Fornecimento de Equipamento"),AE78,VLOOKUP(AC78,referencia!$B$2:$D$29,3,FALSE)),"")</f>
        <v>23000004</v>
      </c>
      <c r="AN78">
        <f t="shared" si="73"/>
        <v>34.625749999999996</v>
      </c>
      <c r="AO78" t="str">
        <f>IF($E78 = "Preservação",VLOOKUP(AC78,referencia!$B$1:$G$29,6,FALSE),"")</f>
        <v/>
      </c>
      <c r="AP78" t="str">
        <f t="shared" si="67"/>
        <v/>
      </c>
      <c r="AQ78" t="str">
        <f>IF($E78 = "Preservação",VLOOKUP(AC78,referencia!$B$1:$F$29,5,FALSE),"")</f>
        <v/>
      </c>
      <c r="AR78" t="str">
        <f t="shared" si="68"/>
        <v/>
      </c>
      <c r="AS78">
        <f>VLOOKUP(AC78,referencia!$B$2:$E$29,4,FALSE)</f>
        <v>0.15</v>
      </c>
      <c r="AT78">
        <f t="shared" si="69"/>
        <v>39.819612499999998</v>
      </c>
      <c r="AU78">
        <f t="shared" si="70"/>
        <v>39.819612499999998</v>
      </c>
      <c r="AV78">
        <f t="shared" si="74"/>
        <v>52.53</v>
      </c>
      <c r="AW78">
        <f t="shared" si="71"/>
        <v>52.53</v>
      </c>
      <c r="AX78" t="str">
        <f t="shared" si="72"/>
        <v>Diferente</v>
      </c>
    </row>
    <row r="79" spans="1:50" x14ac:dyDescent="0.25">
      <c r="A79" t="s">
        <v>565</v>
      </c>
      <c r="B79" t="s">
        <v>566</v>
      </c>
      <c r="C79">
        <v>2000</v>
      </c>
      <c r="D79">
        <v>2340</v>
      </c>
      <c r="E79" t="s">
        <v>481</v>
      </c>
      <c r="F79" t="s">
        <v>478</v>
      </c>
      <c r="G79" t="s">
        <v>610</v>
      </c>
      <c r="H79" t="s">
        <v>611</v>
      </c>
      <c r="I79">
        <v>1</v>
      </c>
      <c r="J79" t="s">
        <v>549</v>
      </c>
      <c r="K79" t="s">
        <v>648</v>
      </c>
      <c r="L79">
        <v>2</v>
      </c>
      <c r="M79" s="18" t="str">
        <f t="shared" si="49"/>
        <v>032340091FERR2000-05039_2340</v>
      </c>
      <c r="N79" s="18" t="str">
        <f t="shared" si="50"/>
        <v>OSS</v>
      </c>
      <c r="O79" s="18" t="str">
        <f t="shared" si="51"/>
        <v>OSS2340</v>
      </c>
      <c r="P79" s="18" t="str">
        <f t="shared" si="52"/>
        <v>OSS2340Mecânica</v>
      </c>
      <c r="Q79" s="18" t="str">
        <f t="shared" si="53"/>
        <v>OSS2340MecânicaComissionamento</v>
      </c>
      <c r="R79" s="19" t="s">
        <v>662</v>
      </c>
      <c r="S79" s="18">
        <f t="shared" si="54"/>
        <v>4</v>
      </c>
      <c r="T79" s="18" t="str">
        <f t="shared" si="55"/>
        <v>EBN.OSS.2340.INM-01-0412</v>
      </c>
      <c r="U79" s="18" t="str">
        <f>IF(AND(J79&lt;&gt;"FIXO",E79="Fornecimento de Equipamento"),"#"&amp;montDes(E79,G79,H79),montDes(E79,G79,H79))</f>
        <v>Comissionamento - Ponta de chave de fenda, torx T8, encaixe sextavado 1/4", comprimento total 150mm - FERR2000-05039_2340</v>
      </c>
      <c r="V79" t="str">
        <f t="shared" si="56"/>
        <v>FERR2000-05039_2340</v>
      </c>
      <c r="W79" t="str">
        <f t="shared" si="57"/>
        <v>UN</v>
      </c>
      <c r="X79" t="s">
        <v>673</v>
      </c>
      <c r="Y79">
        <f t="shared" si="58"/>
        <v>1</v>
      </c>
      <c r="Z79" s="19" t="s">
        <v>729</v>
      </c>
      <c r="AA79" t="str">
        <f t="shared" si="59"/>
        <v>Comissionamento - Mecânica</v>
      </c>
      <c r="AB79" t="str">
        <f t="shared" si="60"/>
        <v>62151178</v>
      </c>
      <c r="AC79" t="str">
        <f>_xlfn.XLOOKUP(AA79,referencia!A:A,referencia!B:B,"Error",0,1)</f>
        <v>94002453</v>
      </c>
      <c r="AD79">
        <f t="shared" si="61"/>
        <v>2</v>
      </c>
      <c r="AE79" t="str">
        <f>IF(OR(E79 = "Fornecimento de Equipamento",E79 ="#Fornecimento de Equipamento"),codMateriais(C79,A79,Z79),"")</f>
        <v/>
      </c>
      <c r="AG79" t="str">
        <f t="shared" si="62"/>
        <v/>
      </c>
      <c r="AH79" t="str">
        <f t="shared" si="63"/>
        <v/>
      </c>
      <c r="AI79" t="str">
        <f t="shared" si="64"/>
        <v/>
      </c>
      <c r="AJ79" t="str">
        <f t="shared" si="65"/>
        <v/>
      </c>
      <c r="AK79">
        <f>IF(AND(E79 &lt;&gt; "*Supervisão*", E79 &lt;&gt; "Hookup Elétrico", E79 &lt;&gt; "Hookup Instrumentação", E79 &lt;&gt; "Hookup Tubulação"),VLOOKUP(AC79,referencia!$B$2:$C$29,2,FALSE),"")</f>
        <v>17.312874999999998</v>
      </c>
      <c r="AL79" t="str">
        <f t="shared" si="66"/>
        <v>62151178</v>
      </c>
      <c r="AM79">
        <f>IF(AND(E79 &lt;&gt; "*Supervisão*", E79 &lt;&gt; "Hookup Elétrico", E79 &lt;&gt; "Hookup Instrumentação", E79 &lt;&gt; "Hookup Tubulação"),IF(OR(E79 = "Fornecimento de Equipamento",E79 ="#Fornecimento de Equipamento"),AE79,VLOOKUP(AC79,referencia!$B$2:$D$29,3,FALSE)),"")</f>
        <v>23000004</v>
      </c>
      <c r="AN79">
        <f t="shared" si="73"/>
        <v>34.625749999999996</v>
      </c>
      <c r="AO79" t="str">
        <f>IF($E79 = "Preservação",VLOOKUP(AC79,referencia!$B$1:$G$29,6,FALSE),"")</f>
        <v/>
      </c>
      <c r="AP79" t="str">
        <f t="shared" si="67"/>
        <v/>
      </c>
      <c r="AQ79" t="str">
        <f>IF($E79 = "Preservação",VLOOKUP(AC79,referencia!$B$1:$F$29,5,FALSE),"")</f>
        <v/>
      </c>
      <c r="AR79" t="str">
        <f t="shared" si="68"/>
        <v/>
      </c>
      <c r="AS79">
        <f>VLOOKUP(AC79,referencia!$B$2:$E$29,4,FALSE)</f>
        <v>0.15</v>
      </c>
      <c r="AT79">
        <f t="shared" si="69"/>
        <v>39.819612499999998</v>
      </c>
      <c r="AU79">
        <f t="shared" si="70"/>
        <v>39.819612499999998</v>
      </c>
      <c r="AV79">
        <f t="shared" si="74"/>
        <v>52.53</v>
      </c>
      <c r="AW79">
        <f t="shared" si="71"/>
        <v>52.53</v>
      </c>
      <c r="AX79" t="str">
        <f t="shared" si="72"/>
        <v>Diferente</v>
      </c>
    </row>
    <row r="80" spans="1:50" x14ac:dyDescent="0.25">
      <c r="A80" t="s">
        <v>565</v>
      </c>
      <c r="B80" t="s">
        <v>566</v>
      </c>
      <c r="C80">
        <v>2000</v>
      </c>
      <c r="D80">
        <v>2340</v>
      </c>
      <c r="E80" t="s">
        <v>481</v>
      </c>
      <c r="F80" t="s">
        <v>478</v>
      </c>
      <c r="G80" t="s">
        <v>614</v>
      </c>
      <c r="H80" t="s">
        <v>615</v>
      </c>
      <c r="I80">
        <v>1</v>
      </c>
      <c r="J80" t="s">
        <v>549</v>
      </c>
      <c r="K80" t="s">
        <v>648</v>
      </c>
      <c r="L80">
        <v>2</v>
      </c>
      <c r="M80" s="18" t="str">
        <f t="shared" si="49"/>
        <v>032340091FERR2000-05040_2340</v>
      </c>
      <c r="N80" s="18" t="str">
        <f t="shared" si="50"/>
        <v>OSS</v>
      </c>
      <c r="O80" s="18" t="str">
        <f t="shared" si="51"/>
        <v>OSS2340</v>
      </c>
      <c r="P80" s="18" t="str">
        <f t="shared" si="52"/>
        <v>OSS2340Mecânica</v>
      </c>
      <c r="Q80" s="18" t="str">
        <f t="shared" si="53"/>
        <v>OSS2340MecânicaComissionamento</v>
      </c>
      <c r="R80" s="19" t="s">
        <v>663</v>
      </c>
      <c r="S80" s="18">
        <f t="shared" si="54"/>
        <v>4</v>
      </c>
      <c r="T80" s="18" t="str">
        <f t="shared" si="55"/>
        <v>EBN.OSS.2340.INM-01-0413</v>
      </c>
      <c r="U80" s="18" t="str">
        <f>IF(AND(J80&lt;&gt;"FIXO",E80="Fornecimento de Equipamento"),"#"&amp;montDes(E80,G80,H80),montDes(E80,G80,H80))</f>
        <v>Comissionamento - Ponta de chave de fenda, torx T9, encaixe sextavado 1/4", comprimento total 150mm - FERR2000-05040_2340</v>
      </c>
      <c r="V80" t="str">
        <f t="shared" si="56"/>
        <v>FERR2000-05040_2340</v>
      </c>
      <c r="W80" t="str">
        <f t="shared" si="57"/>
        <v>UN</v>
      </c>
      <c r="X80" t="s">
        <v>673</v>
      </c>
      <c r="Y80">
        <f t="shared" si="58"/>
        <v>1</v>
      </c>
      <c r="Z80" s="19" t="s">
        <v>730</v>
      </c>
      <c r="AA80" t="str">
        <f t="shared" si="59"/>
        <v>Comissionamento - Mecânica</v>
      </c>
      <c r="AB80" t="str">
        <f t="shared" si="60"/>
        <v>62151179</v>
      </c>
      <c r="AC80" t="str">
        <f>_xlfn.XLOOKUP(AA80,referencia!A:A,referencia!B:B,"Error",0,1)</f>
        <v>94002453</v>
      </c>
      <c r="AD80">
        <f t="shared" si="61"/>
        <v>2</v>
      </c>
      <c r="AE80" t="str">
        <f>IF(OR(E80 = "Fornecimento de Equipamento",E80 ="#Fornecimento de Equipamento"),codMateriais(C80,A80,Z80),"")</f>
        <v/>
      </c>
      <c r="AG80" t="str">
        <f t="shared" si="62"/>
        <v/>
      </c>
      <c r="AH80" t="str">
        <f t="shared" si="63"/>
        <v/>
      </c>
      <c r="AI80" t="str">
        <f t="shared" si="64"/>
        <v/>
      </c>
      <c r="AJ80" t="str">
        <f t="shared" si="65"/>
        <v/>
      </c>
      <c r="AK80">
        <f>IF(AND(E80 &lt;&gt; "*Supervisão*", E80 &lt;&gt; "Hookup Elétrico", E80 &lt;&gt; "Hookup Instrumentação", E80 &lt;&gt; "Hookup Tubulação"),VLOOKUP(AC80,referencia!$B$2:$C$29,2,FALSE),"")</f>
        <v>17.312874999999998</v>
      </c>
      <c r="AL80" t="str">
        <f t="shared" si="66"/>
        <v>62151179</v>
      </c>
      <c r="AM80">
        <f>IF(AND(E80 &lt;&gt; "*Supervisão*", E80 &lt;&gt; "Hookup Elétrico", E80 &lt;&gt; "Hookup Instrumentação", E80 &lt;&gt; "Hookup Tubulação"),IF(OR(E80 = "Fornecimento de Equipamento",E80 ="#Fornecimento de Equipamento"),AE80,VLOOKUP(AC80,referencia!$B$2:$D$29,3,FALSE)),"")</f>
        <v>23000004</v>
      </c>
      <c r="AN80">
        <f t="shared" si="73"/>
        <v>34.625749999999996</v>
      </c>
      <c r="AO80" t="str">
        <f>IF($E80 = "Preservação",VLOOKUP(AC80,referencia!$B$1:$G$29,6,FALSE),"")</f>
        <v/>
      </c>
      <c r="AP80" t="str">
        <f t="shared" si="67"/>
        <v/>
      </c>
      <c r="AQ80" t="str">
        <f>IF($E80 = "Preservação",VLOOKUP(AC80,referencia!$B$1:$F$29,5,FALSE),"")</f>
        <v/>
      </c>
      <c r="AR80" t="str">
        <f t="shared" si="68"/>
        <v/>
      </c>
      <c r="AS80">
        <f>VLOOKUP(AC80,referencia!$B$2:$E$29,4,FALSE)</f>
        <v>0.15</v>
      </c>
      <c r="AT80">
        <f t="shared" si="69"/>
        <v>39.819612499999998</v>
      </c>
      <c r="AU80">
        <f t="shared" si="70"/>
        <v>39.819612499999998</v>
      </c>
      <c r="AV80">
        <f t="shared" si="74"/>
        <v>52.53</v>
      </c>
      <c r="AW80">
        <f t="shared" si="71"/>
        <v>52.53</v>
      </c>
      <c r="AX80" t="str">
        <f t="shared" si="72"/>
        <v>Diferente</v>
      </c>
    </row>
    <row r="81" spans="1:50" x14ac:dyDescent="0.25">
      <c r="A81" t="s">
        <v>565</v>
      </c>
      <c r="B81" t="s">
        <v>566</v>
      </c>
      <c r="C81">
        <v>2000</v>
      </c>
      <c r="D81">
        <v>2340</v>
      </c>
      <c r="E81" t="s">
        <v>481</v>
      </c>
      <c r="F81" t="s">
        <v>478</v>
      </c>
      <c r="G81" t="s">
        <v>616</v>
      </c>
      <c r="H81" t="s">
        <v>617</v>
      </c>
      <c r="I81">
        <v>1</v>
      </c>
      <c r="J81" t="s">
        <v>549</v>
      </c>
      <c r="K81" t="s">
        <v>648</v>
      </c>
      <c r="L81">
        <v>2</v>
      </c>
      <c r="M81" s="18" t="str">
        <f t="shared" si="49"/>
        <v>032340091FERR2000-05041_2340</v>
      </c>
      <c r="N81" s="18" t="str">
        <f t="shared" si="50"/>
        <v>OSS</v>
      </c>
      <c r="O81" s="18" t="str">
        <f t="shared" si="51"/>
        <v>OSS2340</v>
      </c>
      <c r="P81" s="18" t="str">
        <f t="shared" si="52"/>
        <v>OSS2340Mecânica</v>
      </c>
      <c r="Q81" s="18" t="str">
        <f t="shared" si="53"/>
        <v>OSS2340MecânicaComissionamento</v>
      </c>
      <c r="R81" s="19" t="s">
        <v>664</v>
      </c>
      <c r="S81" s="18">
        <f t="shared" si="54"/>
        <v>4</v>
      </c>
      <c r="T81" s="18" t="str">
        <f t="shared" si="55"/>
        <v>EBN.OSS.2340.INM-01-0414</v>
      </c>
      <c r="U81" s="18" t="str">
        <f>IF(AND(J81&lt;&gt;"FIXO",E81="Fornecimento de Equipamento"),"#"&amp;montDes(E81,G81,H81),montDes(E81,G81,H81))</f>
        <v>Comissionamento - Ponta de chave de fenda, torx T10, encaixe sextavado 1/4", comprimento total 150mm - FERR2000-05041_2340</v>
      </c>
      <c r="V81" t="str">
        <f t="shared" si="56"/>
        <v>FERR2000-05041_2340</v>
      </c>
      <c r="W81" t="str">
        <f t="shared" si="57"/>
        <v>UN</v>
      </c>
      <c r="X81" t="s">
        <v>673</v>
      </c>
      <c r="Y81">
        <f t="shared" si="58"/>
        <v>1</v>
      </c>
      <c r="Z81" s="19" t="s">
        <v>731</v>
      </c>
      <c r="AA81" t="str">
        <f t="shared" si="59"/>
        <v>Comissionamento - Mecânica</v>
      </c>
      <c r="AB81" t="str">
        <f t="shared" si="60"/>
        <v>62151180</v>
      </c>
      <c r="AC81" t="str">
        <f>_xlfn.XLOOKUP(AA81,referencia!A:A,referencia!B:B,"Error",0,1)</f>
        <v>94002453</v>
      </c>
      <c r="AD81">
        <f t="shared" si="61"/>
        <v>2</v>
      </c>
      <c r="AE81" t="str">
        <f>IF(OR(E81 = "Fornecimento de Equipamento",E81 ="#Fornecimento de Equipamento"),codMateriais(C81,A81,Z81),"")</f>
        <v/>
      </c>
      <c r="AG81" t="str">
        <f t="shared" si="62"/>
        <v/>
      </c>
      <c r="AH81" t="str">
        <f t="shared" si="63"/>
        <v/>
      </c>
      <c r="AI81" t="str">
        <f t="shared" si="64"/>
        <v/>
      </c>
      <c r="AJ81" t="str">
        <f t="shared" si="65"/>
        <v/>
      </c>
      <c r="AK81">
        <f>IF(AND(E81 &lt;&gt; "*Supervisão*", E81 &lt;&gt; "Hookup Elétrico", E81 &lt;&gt; "Hookup Instrumentação", E81 &lt;&gt; "Hookup Tubulação"),VLOOKUP(AC81,referencia!$B$2:$C$29,2,FALSE),"")</f>
        <v>17.312874999999998</v>
      </c>
      <c r="AL81" t="str">
        <f t="shared" si="66"/>
        <v>62151180</v>
      </c>
      <c r="AM81">
        <f>IF(AND(E81 &lt;&gt; "*Supervisão*", E81 &lt;&gt; "Hookup Elétrico", E81 &lt;&gt; "Hookup Instrumentação", E81 &lt;&gt; "Hookup Tubulação"),IF(OR(E81 = "Fornecimento de Equipamento",E81 ="#Fornecimento de Equipamento"),AE81,VLOOKUP(AC81,referencia!$B$2:$D$29,3,FALSE)),"")</f>
        <v>23000004</v>
      </c>
      <c r="AN81">
        <f t="shared" si="73"/>
        <v>34.625749999999996</v>
      </c>
      <c r="AO81" t="str">
        <f>IF($E81 = "Preservação",VLOOKUP(AC81,referencia!$B$1:$G$29,6,FALSE),"")</f>
        <v/>
      </c>
      <c r="AP81" t="str">
        <f t="shared" si="67"/>
        <v/>
      </c>
      <c r="AQ81" t="str">
        <f>IF($E81 = "Preservação",VLOOKUP(AC81,referencia!$B$1:$F$29,5,FALSE),"")</f>
        <v/>
      </c>
      <c r="AR81" t="str">
        <f t="shared" si="68"/>
        <v/>
      </c>
      <c r="AS81">
        <f>VLOOKUP(AC81,referencia!$B$2:$E$29,4,FALSE)</f>
        <v>0.15</v>
      </c>
      <c r="AT81">
        <f t="shared" si="69"/>
        <v>39.819612499999998</v>
      </c>
      <c r="AU81">
        <f t="shared" si="70"/>
        <v>39.819612499999998</v>
      </c>
      <c r="AV81">
        <f t="shared" si="74"/>
        <v>52.53</v>
      </c>
      <c r="AW81">
        <f t="shared" si="71"/>
        <v>52.53</v>
      </c>
      <c r="AX81" t="str">
        <f t="shared" si="72"/>
        <v>Diferente</v>
      </c>
    </row>
    <row r="82" spans="1:50" x14ac:dyDescent="0.25">
      <c r="A82" t="s">
        <v>565</v>
      </c>
      <c r="B82" t="s">
        <v>566</v>
      </c>
      <c r="C82">
        <v>2000</v>
      </c>
      <c r="D82">
        <v>2340</v>
      </c>
      <c r="E82" t="s">
        <v>481</v>
      </c>
      <c r="F82" t="s">
        <v>478</v>
      </c>
      <c r="G82" t="s">
        <v>618</v>
      </c>
      <c r="H82" t="s">
        <v>619</v>
      </c>
      <c r="I82">
        <v>1</v>
      </c>
      <c r="J82" t="s">
        <v>549</v>
      </c>
      <c r="K82" t="s">
        <v>648</v>
      </c>
      <c r="L82">
        <v>2</v>
      </c>
      <c r="M82" s="18" t="str">
        <f t="shared" si="49"/>
        <v>032340091FERR2000-05042_2340</v>
      </c>
      <c r="N82" s="18" t="str">
        <f t="shared" si="50"/>
        <v>OSS</v>
      </c>
      <c r="O82" s="18" t="str">
        <f t="shared" si="51"/>
        <v>OSS2340</v>
      </c>
      <c r="P82" s="18" t="str">
        <f t="shared" si="52"/>
        <v>OSS2340Mecânica</v>
      </c>
      <c r="Q82" s="18" t="str">
        <f t="shared" si="53"/>
        <v>OSS2340MecânicaComissionamento</v>
      </c>
      <c r="R82" s="19" t="s">
        <v>665</v>
      </c>
      <c r="S82" s="18">
        <f t="shared" si="54"/>
        <v>4</v>
      </c>
      <c r="T82" s="18" t="str">
        <f t="shared" si="55"/>
        <v>EBN.OSS.2340.INM-01-0415</v>
      </c>
      <c r="U82" s="18" t="str">
        <f>IF(AND(J82&lt;&gt;"FIXO",E82="Fornecimento de Equipamento"),"#"&amp;montDes(E82,G82,H82),montDes(E82,G82,H82))</f>
        <v>Comissionamento - Ponta de chave de fenda, torx T20, encaixe sextavado 1/4", comprimento total 150mm - FERR2000-05042_2340</v>
      </c>
      <c r="V82" t="str">
        <f t="shared" si="56"/>
        <v>FERR2000-05042_2340</v>
      </c>
      <c r="W82" t="str">
        <f t="shared" si="57"/>
        <v>UN</v>
      </c>
      <c r="X82" t="s">
        <v>673</v>
      </c>
      <c r="Y82">
        <f t="shared" si="58"/>
        <v>1</v>
      </c>
      <c r="Z82" s="19" t="s">
        <v>732</v>
      </c>
      <c r="AA82" t="str">
        <f t="shared" si="59"/>
        <v>Comissionamento - Mecânica</v>
      </c>
      <c r="AB82" t="str">
        <f t="shared" si="60"/>
        <v>62151181</v>
      </c>
      <c r="AC82" t="str">
        <f>_xlfn.XLOOKUP(AA82,referencia!A:A,referencia!B:B,"Error",0,1)</f>
        <v>94002453</v>
      </c>
      <c r="AD82">
        <f t="shared" si="61"/>
        <v>2</v>
      </c>
      <c r="AE82" t="str">
        <f>IF(OR(E82 = "Fornecimento de Equipamento",E82 ="#Fornecimento de Equipamento"),codMateriais(C82,A82,Z82),"")</f>
        <v/>
      </c>
      <c r="AG82" t="str">
        <f t="shared" si="62"/>
        <v/>
      </c>
      <c r="AH82" t="str">
        <f t="shared" si="63"/>
        <v/>
      </c>
      <c r="AI82" t="str">
        <f t="shared" si="64"/>
        <v/>
      </c>
      <c r="AJ82" t="str">
        <f t="shared" si="65"/>
        <v/>
      </c>
      <c r="AK82">
        <f>IF(AND(E82 &lt;&gt; "*Supervisão*", E82 &lt;&gt; "Hookup Elétrico", E82 &lt;&gt; "Hookup Instrumentação", E82 &lt;&gt; "Hookup Tubulação"),VLOOKUP(AC82,referencia!$B$2:$C$29,2,FALSE),"")</f>
        <v>17.312874999999998</v>
      </c>
      <c r="AL82" t="str">
        <f t="shared" si="66"/>
        <v>62151181</v>
      </c>
      <c r="AM82">
        <f>IF(AND(E82 &lt;&gt; "*Supervisão*", E82 &lt;&gt; "Hookup Elétrico", E82 &lt;&gt; "Hookup Instrumentação", E82 &lt;&gt; "Hookup Tubulação"),IF(OR(E82 = "Fornecimento de Equipamento",E82 ="#Fornecimento de Equipamento"),AE82,VLOOKUP(AC82,referencia!$B$2:$D$29,3,FALSE)),"")</f>
        <v>23000004</v>
      </c>
      <c r="AN82">
        <f t="shared" si="73"/>
        <v>34.625749999999996</v>
      </c>
      <c r="AO82" t="str">
        <f>IF($E82 = "Preservação",VLOOKUP(AC82,referencia!$B$1:$G$29,6,FALSE),"")</f>
        <v/>
      </c>
      <c r="AP82" t="str">
        <f t="shared" si="67"/>
        <v/>
      </c>
      <c r="AQ82" t="str">
        <f>IF($E82 = "Preservação",VLOOKUP(AC82,referencia!$B$1:$F$29,5,FALSE),"")</f>
        <v/>
      </c>
      <c r="AR82" t="str">
        <f t="shared" si="68"/>
        <v/>
      </c>
      <c r="AS82">
        <f>VLOOKUP(AC82,referencia!$B$2:$E$29,4,FALSE)</f>
        <v>0.15</v>
      </c>
      <c r="AT82">
        <f t="shared" si="69"/>
        <v>39.819612499999998</v>
      </c>
      <c r="AU82">
        <f t="shared" si="70"/>
        <v>39.819612499999998</v>
      </c>
      <c r="AV82">
        <f t="shared" si="74"/>
        <v>52.53</v>
      </c>
      <c r="AW82">
        <f t="shared" si="71"/>
        <v>52.53</v>
      </c>
      <c r="AX82" t="str">
        <f t="shared" si="72"/>
        <v>Diferente</v>
      </c>
    </row>
    <row r="83" spans="1:50" x14ac:dyDescent="0.25">
      <c r="A83" t="s">
        <v>565</v>
      </c>
      <c r="B83" t="s">
        <v>566</v>
      </c>
      <c r="C83">
        <v>2000</v>
      </c>
      <c r="D83">
        <v>2340</v>
      </c>
      <c r="E83" t="s">
        <v>481</v>
      </c>
      <c r="F83" t="s">
        <v>478</v>
      </c>
      <c r="G83" t="s">
        <v>620</v>
      </c>
      <c r="H83" t="s">
        <v>621</v>
      </c>
      <c r="I83">
        <v>1</v>
      </c>
      <c r="J83" t="s">
        <v>549</v>
      </c>
      <c r="K83" t="s">
        <v>648</v>
      </c>
      <c r="L83">
        <v>2</v>
      </c>
      <c r="M83" s="18" t="str">
        <f t="shared" si="49"/>
        <v>032340091FERR2000-05044_2340</v>
      </c>
      <c r="N83" s="18" t="str">
        <f t="shared" si="50"/>
        <v>OSS</v>
      </c>
      <c r="O83" s="18" t="str">
        <f t="shared" si="51"/>
        <v>OSS2340</v>
      </c>
      <c r="P83" s="18" t="str">
        <f t="shared" si="52"/>
        <v>OSS2340Mecânica</v>
      </c>
      <c r="Q83" s="18" t="str">
        <f t="shared" si="53"/>
        <v>OSS2340MecânicaComissionamento</v>
      </c>
      <c r="R83" s="19" t="s">
        <v>666</v>
      </c>
      <c r="S83" s="18">
        <f t="shared" si="54"/>
        <v>4</v>
      </c>
      <c r="T83" s="18" t="str">
        <f t="shared" si="55"/>
        <v>EBN.OSS.2340.INM-01-0416</v>
      </c>
      <c r="U83" s="18" t="str">
        <f>IF(AND(J83&lt;&gt;"FIXO",E83="Fornecimento de Equipamento"),"#"&amp;montDes(E83,G83,H83),montDes(E83,G83,H83))</f>
        <v>Comissionamento - Estilete de precisão, corpo em alumínio, laminas substituíveis - FERR2000-05044_2340</v>
      </c>
      <c r="V83" t="str">
        <f t="shared" si="56"/>
        <v>FERR2000-05044_2340</v>
      </c>
      <c r="W83" t="str">
        <f t="shared" si="57"/>
        <v>UN</v>
      </c>
      <c r="X83" t="s">
        <v>673</v>
      </c>
      <c r="Y83">
        <f t="shared" si="58"/>
        <v>1</v>
      </c>
      <c r="Z83" s="19" t="s">
        <v>733</v>
      </c>
      <c r="AA83" t="str">
        <f t="shared" si="59"/>
        <v>Comissionamento - Mecânica</v>
      </c>
      <c r="AB83" t="str">
        <f t="shared" si="60"/>
        <v>62151182</v>
      </c>
      <c r="AC83" t="str">
        <f>_xlfn.XLOOKUP(AA83,referencia!A:A,referencia!B:B,"Error",0,1)</f>
        <v>94002453</v>
      </c>
      <c r="AD83">
        <f t="shared" si="61"/>
        <v>2</v>
      </c>
      <c r="AE83" t="str">
        <f>IF(OR(E83 = "Fornecimento de Equipamento",E83 ="#Fornecimento de Equipamento"),codMateriais(C83,A83,Z83),"")</f>
        <v/>
      </c>
      <c r="AG83" t="str">
        <f t="shared" si="62"/>
        <v/>
      </c>
      <c r="AH83" t="str">
        <f t="shared" si="63"/>
        <v/>
      </c>
      <c r="AI83" t="str">
        <f t="shared" si="64"/>
        <v/>
      </c>
      <c r="AJ83" t="str">
        <f t="shared" si="65"/>
        <v/>
      </c>
      <c r="AK83">
        <f>IF(AND(E83 &lt;&gt; "*Supervisão*", E83 &lt;&gt; "Hookup Elétrico", E83 &lt;&gt; "Hookup Instrumentação", E83 &lt;&gt; "Hookup Tubulação"),VLOOKUP(AC83,referencia!$B$2:$C$29,2,FALSE),"")</f>
        <v>17.312874999999998</v>
      </c>
      <c r="AL83" t="str">
        <f t="shared" si="66"/>
        <v>62151182</v>
      </c>
      <c r="AM83">
        <f>IF(AND(E83 &lt;&gt; "*Supervisão*", E83 &lt;&gt; "Hookup Elétrico", E83 &lt;&gt; "Hookup Instrumentação", E83 &lt;&gt; "Hookup Tubulação"),IF(OR(E83 = "Fornecimento de Equipamento",E83 ="#Fornecimento de Equipamento"),AE83,VLOOKUP(AC83,referencia!$B$2:$D$29,3,FALSE)),"")</f>
        <v>23000004</v>
      </c>
      <c r="AN83">
        <f t="shared" si="73"/>
        <v>34.625749999999996</v>
      </c>
      <c r="AO83" t="str">
        <f>IF($E83 = "Preservação",VLOOKUP(AC83,referencia!$B$1:$G$29,6,FALSE),"")</f>
        <v/>
      </c>
      <c r="AP83" t="str">
        <f t="shared" si="67"/>
        <v/>
      </c>
      <c r="AQ83" t="str">
        <f>IF($E83 = "Preservação",VLOOKUP(AC83,referencia!$B$1:$F$29,5,FALSE),"")</f>
        <v/>
      </c>
      <c r="AR83" t="str">
        <f t="shared" si="68"/>
        <v/>
      </c>
      <c r="AS83">
        <f>VLOOKUP(AC83,referencia!$B$2:$E$29,4,FALSE)</f>
        <v>0.15</v>
      </c>
      <c r="AT83">
        <f t="shared" si="69"/>
        <v>39.819612499999998</v>
      </c>
      <c r="AU83">
        <f t="shared" si="70"/>
        <v>39.819612499999998</v>
      </c>
      <c r="AV83">
        <f t="shared" si="74"/>
        <v>52.53</v>
      </c>
      <c r="AW83">
        <f t="shared" si="71"/>
        <v>52.53</v>
      </c>
      <c r="AX83" t="str">
        <f t="shared" si="72"/>
        <v>Diferente</v>
      </c>
    </row>
    <row r="84" spans="1:50" x14ac:dyDescent="0.25">
      <c r="A84" t="s">
        <v>565</v>
      </c>
      <c r="B84" t="s">
        <v>566</v>
      </c>
      <c r="C84">
        <v>2000</v>
      </c>
      <c r="D84">
        <v>2340</v>
      </c>
      <c r="E84" t="s">
        <v>481</v>
      </c>
      <c r="F84" t="s">
        <v>478</v>
      </c>
      <c r="G84" t="s">
        <v>624</v>
      </c>
      <c r="H84" t="s">
        <v>625</v>
      </c>
      <c r="I84">
        <v>1</v>
      </c>
      <c r="J84" t="s">
        <v>549</v>
      </c>
      <c r="K84" t="s">
        <v>648</v>
      </c>
      <c r="L84">
        <v>2</v>
      </c>
      <c r="M84" s="18" t="str">
        <f t="shared" si="49"/>
        <v>032340091FERR2000-05045_2340</v>
      </c>
      <c r="N84" s="18" t="str">
        <f t="shared" si="50"/>
        <v>OSS</v>
      </c>
      <c r="O84" s="18" t="str">
        <f t="shared" si="51"/>
        <v>OSS2340</v>
      </c>
      <c r="P84" s="18" t="str">
        <f t="shared" si="52"/>
        <v>OSS2340Mecânica</v>
      </c>
      <c r="Q84" s="18" t="str">
        <f t="shared" si="53"/>
        <v>OSS2340MecânicaComissionamento</v>
      </c>
      <c r="R84" s="19" t="s">
        <v>667</v>
      </c>
      <c r="S84" s="18">
        <f t="shared" si="54"/>
        <v>4</v>
      </c>
      <c r="T84" s="18" t="str">
        <f t="shared" si="55"/>
        <v>EBN.OSS.2340.INM-01-0417</v>
      </c>
      <c r="U84" s="18" t="str">
        <f>IF(AND(J84&lt;&gt;"FIXO",E84="Fornecimento de Equipamento"),"#"&amp;montDes(E84,G84,H84),montDes(E84,G84,H84))</f>
        <v>Comissionamento - Paquímetro de profundidade - 0 - 250 mm, graduação 0,02mm - FERR2000-05045_2340</v>
      </c>
      <c r="V84" t="str">
        <f t="shared" si="56"/>
        <v>FERR2000-05045_2340</v>
      </c>
      <c r="W84" t="str">
        <f t="shared" si="57"/>
        <v>UN</v>
      </c>
      <c r="X84" t="s">
        <v>673</v>
      </c>
      <c r="Y84">
        <f t="shared" si="58"/>
        <v>1</v>
      </c>
      <c r="Z84" s="19" t="s">
        <v>734</v>
      </c>
      <c r="AA84" t="str">
        <f t="shared" si="59"/>
        <v>Comissionamento - Mecânica</v>
      </c>
      <c r="AB84" t="str">
        <f t="shared" si="60"/>
        <v>62151183</v>
      </c>
      <c r="AC84" t="str">
        <f>_xlfn.XLOOKUP(AA84,referencia!A:A,referencia!B:B,"Error",0,1)</f>
        <v>94002453</v>
      </c>
      <c r="AD84">
        <f t="shared" si="61"/>
        <v>2</v>
      </c>
      <c r="AE84" t="str">
        <f>IF(OR(E84 = "Fornecimento de Equipamento",E84 ="#Fornecimento de Equipamento"),codMateriais(C84,A84,Z84),"")</f>
        <v/>
      </c>
      <c r="AG84" t="str">
        <f t="shared" si="62"/>
        <v/>
      </c>
      <c r="AH84" t="str">
        <f t="shared" si="63"/>
        <v/>
      </c>
      <c r="AI84" t="str">
        <f t="shared" si="64"/>
        <v/>
      </c>
      <c r="AJ84" t="str">
        <f t="shared" si="65"/>
        <v/>
      </c>
      <c r="AK84">
        <f>IF(AND(E84 &lt;&gt; "*Supervisão*", E84 &lt;&gt; "Hookup Elétrico", E84 &lt;&gt; "Hookup Instrumentação", E84 &lt;&gt; "Hookup Tubulação"),VLOOKUP(AC84,referencia!$B$2:$C$29,2,FALSE),"")</f>
        <v>17.312874999999998</v>
      </c>
      <c r="AL84" t="str">
        <f t="shared" si="66"/>
        <v>62151183</v>
      </c>
      <c r="AM84">
        <f>IF(AND(E84 &lt;&gt; "*Supervisão*", E84 &lt;&gt; "Hookup Elétrico", E84 &lt;&gt; "Hookup Instrumentação", E84 &lt;&gt; "Hookup Tubulação"),IF(OR(E84 = "Fornecimento de Equipamento",E84 ="#Fornecimento de Equipamento"),AE84,VLOOKUP(AC84,referencia!$B$2:$D$29,3,FALSE)),"")</f>
        <v>23000004</v>
      </c>
      <c r="AN84">
        <f t="shared" si="73"/>
        <v>34.625749999999996</v>
      </c>
      <c r="AO84" t="str">
        <f>IF($E84 = "Preservação",VLOOKUP(AC84,referencia!$B$1:$G$29,6,FALSE),"")</f>
        <v/>
      </c>
      <c r="AP84" t="str">
        <f t="shared" si="67"/>
        <v/>
      </c>
      <c r="AQ84" t="str">
        <f>IF($E84 = "Preservação",VLOOKUP(AC84,referencia!$B$1:$F$29,5,FALSE),"")</f>
        <v/>
      </c>
      <c r="AR84" t="str">
        <f t="shared" si="68"/>
        <v/>
      </c>
      <c r="AS84">
        <f>VLOOKUP(AC84,referencia!$B$2:$E$29,4,FALSE)</f>
        <v>0.15</v>
      </c>
      <c r="AT84">
        <f t="shared" si="69"/>
        <v>39.819612499999998</v>
      </c>
      <c r="AU84">
        <f t="shared" si="70"/>
        <v>39.819612499999998</v>
      </c>
      <c r="AV84">
        <f t="shared" si="74"/>
        <v>52.53</v>
      </c>
      <c r="AW84">
        <f t="shared" si="71"/>
        <v>52.53</v>
      </c>
      <c r="AX84" t="str">
        <f t="shared" si="72"/>
        <v>Diferente</v>
      </c>
    </row>
    <row r="85" spans="1:50" x14ac:dyDescent="0.25">
      <c r="A85" t="s">
        <v>565</v>
      </c>
      <c r="B85" t="s">
        <v>566</v>
      </c>
      <c r="C85">
        <v>2000</v>
      </c>
      <c r="D85">
        <v>2340</v>
      </c>
      <c r="E85" t="s">
        <v>481</v>
      </c>
      <c r="F85" t="s">
        <v>478</v>
      </c>
      <c r="G85" t="s">
        <v>628</v>
      </c>
      <c r="H85" t="s">
        <v>629</v>
      </c>
      <c r="I85">
        <v>1</v>
      </c>
      <c r="J85" t="s">
        <v>549</v>
      </c>
      <c r="K85" t="s">
        <v>648</v>
      </c>
      <c r="L85">
        <v>2</v>
      </c>
      <c r="M85" s="18" t="str">
        <f t="shared" si="49"/>
        <v>032340091FERR2000-05046_2340</v>
      </c>
      <c r="N85" s="18" t="str">
        <f t="shared" si="50"/>
        <v>OSS</v>
      </c>
      <c r="O85" s="18" t="str">
        <f t="shared" si="51"/>
        <v>OSS2340</v>
      </c>
      <c r="P85" s="18" t="str">
        <f t="shared" si="52"/>
        <v>OSS2340Mecânica</v>
      </c>
      <c r="Q85" s="18" t="str">
        <f t="shared" si="53"/>
        <v>OSS2340MecânicaComissionamento</v>
      </c>
      <c r="R85" s="19" t="s">
        <v>668</v>
      </c>
      <c r="S85" s="18">
        <f t="shared" si="54"/>
        <v>4</v>
      </c>
      <c r="T85" s="18" t="str">
        <f t="shared" si="55"/>
        <v>EBN.OSS.2340.INM-01-0418</v>
      </c>
      <c r="U85" s="18" t="str">
        <f>IF(AND(J85&lt;&gt;"FIXO",E85="Fornecimento de Equipamento"),"#"&amp;montDes(E85,G85,H85),montDes(E85,G85,H85))</f>
        <v>Comissionamento - Suporte removível para calibradores de profundidade de 400 mm. Erro máximo permitido (± 0,005mm) - FERR2000-05046_2340</v>
      </c>
      <c r="V85" t="str">
        <f t="shared" si="56"/>
        <v>FERR2000-05046_2340</v>
      </c>
      <c r="W85" t="str">
        <f t="shared" si="57"/>
        <v>UN</v>
      </c>
      <c r="X85" t="s">
        <v>673</v>
      </c>
      <c r="Y85">
        <f t="shared" si="58"/>
        <v>1</v>
      </c>
      <c r="Z85" s="19" t="s">
        <v>735</v>
      </c>
      <c r="AA85" t="str">
        <f t="shared" si="59"/>
        <v>Comissionamento - Mecânica</v>
      </c>
      <c r="AB85" t="str">
        <f t="shared" si="60"/>
        <v>62151184</v>
      </c>
      <c r="AC85" t="str">
        <f>_xlfn.XLOOKUP(AA85,referencia!A:A,referencia!B:B,"Error",0,1)</f>
        <v>94002453</v>
      </c>
      <c r="AD85">
        <f t="shared" si="61"/>
        <v>2</v>
      </c>
      <c r="AE85" t="str">
        <f>IF(OR(E85 = "Fornecimento de Equipamento",E85 ="#Fornecimento de Equipamento"),codMateriais(C85,A85,Z85),"")</f>
        <v/>
      </c>
      <c r="AG85" t="str">
        <f t="shared" si="62"/>
        <v/>
      </c>
      <c r="AH85" t="str">
        <f t="shared" si="63"/>
        <v/>
      </c>
      <c r="AI85" t="str">
        <f t="shared" si="64"/>
        <v/>
      </c>
      <c r="AJ85" t="str">
        <f t="shared" si="65"/>
        <v/>
      </c>
      <c r="AK85">
        <f>IF(AND(E85 &lt;&gt; "*Supervisão*", E85 &lt;&gt; "Hookup Elétrico", E85 &lt;&gt; "Hookup Instrumentação", E85 &lt;&gt; "Hookup Tubulação"),VLOOKUP(AC85,referencia!$B$2:$C$29,2,FALSE),"")</f>
        <v>17.312874999999998</v>
      </c>
      <c r="AL85" t="str">
        <f t="shared" si="66"/>
        <v>62151184</v>
      </c>
      <c r="AM85">
        <f>IF(AND(E85 &lt;&gt; "*Supervisão*", E85 &lt;&gt; "Hookup Elétrico", E85 &lt;&gt; "Hookup Instrumentação", E85 &lt;&gt; "Hookup Tubulação"),IF(OR(E85 = "Fornecimento de Equipamento",E85 ="#Fornecimento de Equipamento"),AE85,VLOOKUP(AC85,referencia!$B$2:$D$29,3,FALSE)),"")</f>
        <v>23000004</v>
      </c>
      <c r="AN85">
        <f t="shared" si="73"/>
        <v>34.625749999999996</v>
      </c>
      <c r="AO85" t="str">
        <f>IF($E85 = "Preservação",VLOOKUP(AC85,referencia!$B$1:$G$29,6,FALSE),"")</f>
        <v/>
      </c>
      <c r="AP85" t="str">
        <f t="shared" si="67"/>
        <v/>
      </c>
      <c r="AQ85" t="str">
        <f>IF($E85 = "Preservação",VLOOKUP(AC85,referencia!$B$1:$F$29,5,FALSE),"")</f>
        <v/>
      </c>
      <c r="AR85" t="str">
        <f t="shared" si="68"/>
        <v/>
      </c>
      <c r="AS85">
        <f>VLOOKUP(AC85,referencia!$B$2:$E$29,4,FALSE)</f>
        <v>0.15</v>
      </c>
      <c r="AT85">
        <f t="shared" si="69"/>
        <v>39.819612499999998</v>
      </c>
      <c r="AU85">
        <f t="shared" si="70"/>
        <v>39.819612499999998</v>
      </c>
      <c r="AV85">
        <f t="shared" si="74"/>
        <v>52.53</v>
      </c>
      <c r="AW85">
        <f t="shared" si="71"/>
        <v>52.53</v>
      </c>
      <c r="AX85" t="str">
        <f t="shared" si="72"/>
        <v>Diferente</v>
      </c>
    </row>
    <row r="86" spans="1:50" x14ac:dyDescent="0.25">
      <c r="A86" t="s">
        <v>565</v>
      </c>
      <c r="B86" t="s">
        <v>566</v>
      </c>
      <c r="C86">
        <v>2000</v>
      </c>
      <c r="D86">
        <v>2340</v>
      </c>
      <c r="E86" t="s">
        <v>481</v>
      </c>
      <c r="F86" t="s">
        <v>478</v>
      </c>
      <c r="G86" t="s">
        <v>632</v>
      </c>
      <c r="H86" t="s">
        <v>633</v>
      </c>
      <c r="I86">
        <v>1</v>
      </c>
      <c r="J86" t="s">
        <v>549</v>
      </c>
      <c r="K86" t="s">
        <v>648</v>
      </c>
      <c r="L86">
        <v>2</v>
      </c>
      <c r="M86" s="18" t="str">
        <f t="shared" si="49"/>
        <v>032340091FERR2000-05049_2340</v>
      </c>
      <c r="N86" s="18" t="str">
        <f t="shared" si="50"/>
        <v>OSS</v>
      </c>
      <c r="O86" s="18" t="str">
        <f t="shared" si="51"/>
        <v>OSS2340</v>
      </c>
      <c r="P86" s="18" t="str">
        <f t="shared" si="52"/>
        <v>OSS2340Mecânica</v>
      </c>
      <c r="Q86" s="18" t="str">
        <f t="shared" si="53"/>
        <v>OSS2340MecânicaComissionamento</v>
      </c>
      <c r="R86" s="19" t="s">
        <v>669</v>
      </c>
      <c r="S86" s="18">
        <f t="shared" si="54"/>
        <v>4</v>
      </c>
      <c r="T86" s="18" t="str">
        <f t="shared" si="55"/>
        <v>EBN.OSS.2340.INM-01-0419</v>
      </c>
      <c r="U86" s="18" t="str">
        <f>IF(AND(J86&lt;&gt;"FIXO",E86="Fornecimento de Equipamento"),"#"&amp;montDes(E86,G86,H86),montDes(E86,G86,H86))</f>
        <v>Comissionamento - Barra em aço inoxidável, rosca integral, M6 x 175mm - FERR2000-05049_2340</v>
      </c>
      <c r="V86" t="str">
        <f t="shared" si="56"/>
        <v>FERR2000-05049_2340</v>
      </c>
      <c r="W86" t="str">
        <f t="shared" si="57"/>
        <v>UN</v>
      </c>
      <c r="X86" t="s">
        <v>673</v>
      </c>
      <c r="Y86">
        <f t="shared" si="58"/>
        <v>1</v>
      </c>
      <c r="Z86" s="19" t="s">
        <v>736</v>
      </c>
      <c r="AA86" t="str">
        <f t="shared" si="59"/>
        <v>Comissionamento - Mecânica</v>
      </c>
      <c r="AB86" t="str">
        <f t="shared" si="60"/>
        <v>62151185</v>
      </c>
      <c r="AC86" t="str">
        <f>_xlfn.XLOOKUP(AA86,referencia!A:A,referencia!B:B,"Error",0,1)</f>
        <v>94002453</v>
      </c>
      <c r="AD86">
        <f t="shared" si="61"/>
        <v>2</v>
      </c>
      <c r="AE86" t="str">
        <f>IF(OR(E86 = "Fornecimento de Equipamento",E86 ="#Fornecimento de Equipamento"),codMateriais(C86,A86,Z86),"")</f>
        <v/>
      </c>
      <c r="AG86" t="str">
        <f t="shared" si="62"/>
        <v/>
      </c>
      <c r="AH86" t="str">
        <f t="shared" si="63"/>
        <v/>
      </c>
      <c r="AI86" t="str">
        <f t="shared" si="64"/>
        <v/>
      </c>
      <c r="AJ86" t="str">
        <f t="shared" si="65"/>
        <v/>
      </c>
      <c r="AK86">
        <f>IF(AND(E86 &lt;&gt; "*Supervisão*", E86 &lt;&gt; "Hookup Elétrico", E86 &lt;&gt; "Hookup Instrumentação", E86 &lt;&gt; "Hookup Tubulação"),VLOOKUP(AC86,referencia!$B$2:$C$29,2,FALSE),"")</f>
        <v>17.312874999999998</v>
      </c>
      <c r="AL86" t="str">
        <f t="shared" si="66"/>
        <v>62151185</v>
      </c>
      <c r="AM86">
        <f>IF(AND(E86 &lt;&gt; "*Supervisão*", E86 &lt;&gt; "Hookup Elétrico", E86 &lt;&gt; "Hookup Instrumentação", E86 &lt;&gt; "Hookup Tubulação"),IF(OR(E86 = "Fornecimento de Equipamento",E86 ="#Fornecimento de Equipamento"),AE86,VLOOKUP(AC86,referencia!$B$2:$D$29,3,FALSE)),"")</f>
        <v>23000004</v>
      </c>
      <c r="AN86">
        <f t="shared" si="73"/>
        <v>34.625749999999996</v>
      </c>
      <c r="AO86" t="str">
        <f>IF($E86 = "Preservação",VLOOKUP(AC86,referencia!$B$1:$G$29,6,FALSE),"")</f>
        <v/>
      </c>
      <c r="AP86" t="str">
        <f t="shared" si="67"/>
        <v/>
      </c>
      <c r="AQ86" t="str">
        <f>IF($E86 = "Preservação",VLOOKUP(AC86,referencia!$B$1:$F$29,5,FALSE),"")</f>
        <v/>
      </c>
      <c r="AR86" t="str">
        <f t="shared" si="68"/>
        <v/>
      </c>
      <c r="AS86">
        <f>VLOOKUP(AC86,referencia!$B$2:$E$29,4,FALSE)</f>
        <v>0.15</v>
      </c>
      <c r="AT86">
        <f t="shared" si="69"/>
        <v>39.819612499999998</v>
      </c>
      <c r="AU86">
        <f t="shared" si="70"/>
        <v>39.819612499999998</v>
      </c>
      <c r="AV86">
        <f t="shared" si="74"/>
        <v>52.53</v>
      </c>
      <c r="AW86">
        <f t="shared" si="71"/>
        <v>52.53</v>
      </c>
      <c r="AX86" t="str">
        <f t="shared" si="72"/>
        <v>Diferente</v>
      </c>
    </row>
    <row r="87" spans="1:50" x14ac:dyDescent="0.25">
      <c r="A87" t="s">
        <v>565</v>
      </c>
      <c r="B87" t="s">
        <v>566</v>
      </c>
      <c r="C87">
        <v>2000</v>
      </c>
      <c r="D87">
        <v>2340</v>
      </c>
      <c r="E87" t="s">
        <v>481</v>
      </c>
      <c r="F87" t="s">
        <v>478</v>
      </c>
      <c r="G87" t="s">
        <v>636</v>
      </c>
      <c r="H87" t="s">
        <v>637</v>
      </c>
      <c r="I87">
        <v>1</v>
      </c>
      <c r="J87" t="s">
        <v>549</v>
      </c>
      <c r="K87" t="s">
        <v>648</v>
      </c>
      <c r="L87">
        <v>2</v>
      </c>
      <c r="M87" s="18" t="str">
        <f t="shared" si="49"/>
        <v>032340091FERR2000-05050_2340</v>
      </c>
      <c r="N87" s="18" t="str">
        <f t="shared" si="50"/>
        <v>OSS</v>
      </c>
      <c r="O87" s="18" t="str">
        <f t="shared" si="51"/>
        <v>OSS2340</v>
      </c>
      <c r="P87" s="18" t="str">
        <f t="shared" si="52"/>
        <v>OSS2340Mecânica</v>
      </c>
      <c r="Q87" s="18" t="str">
        <f t="shared" si="53"/>
        <v>OSS2340MecânicaComissionamento</v>
      </c>
      <c r="R87" s="19" t="s">
        <v>670</v>
      </c>
      <c r="S87" s="18">
        <f t="shared" si="54"/>
        <v>4</v>
      </c>
      <c r="T87" s="18" t="str">
        <f t="shared" si="55"/>
        <v>EBN.OSS.2340.INM-01-0420</v>
      </c>
      <c r="U87" s="18" t="str">
        <f>IF(AND(J87&lt;&gt;"FIXO",E87="Fornecimento de Equipamento"),"#"&amp;montDes(E87,G87,H87),montDes(E87,G87,H87))</f>
        <v>Comissionamento - Barra em aço inoxidável - S-304 Grau A2, rosca integral, M4 x 250mm. - FERR2000-05050_2340</v>
      </c>
      <c r="V87" t="str">
        <f t="shared" si="56"/>
        <v>FERR2000-05050_2340</v>
      </c>
      <c r="W87" t="str">
        <f t="shared" si="57"/>
        <v>UN</v>
      </c>
      <c r="X87" t="s">
        <v>673</v>
      </c>
      <c r="Y87">
        <f t="shared" si="58"/>
        <v>1</v>
      </c>
      <c r="Z87" s="19" t="s">
        <v>737</v>
      </c>
      <c r="AA87" t="str">
        <f t="shared" si="59"/>
        <v>Comissionamento - Mecânica</v>
      </c>
      <c r="AB87" t="str">
        <f t="shared" si="60"/>
        <v>62151186</v>
      </c>
      <c r="AC87" t="str">
        <f>_xlfn.XLOOKUP(AA87,referencia!A:A,referencia!B:B,"Error",0,1)</f>
        <v>94002453</v>
      </c>
      <c r="AD87">
        <f t="shared" si="61"/>
        <v>2</v>
      </c>
      <c r="AE87" t="str">
        <f>IF(OR(E87 = "Fornecimento de Equipamento",E87 ="#Fornecimento de Equipamento"),codMateriais(C87,A87,Z87),"")</f>
        <v/>
      </c>
      <c r="AG87" t="str">
        <f t="shared" si="62"/>
        <v/>
      </c>
      <c r="AH87" t="str">
        <f t="shared" si="63"/>
        <v/>
      </c>
      <c r="AI87" t="str">
        <f t="shared" si="64"/>
        <v/>
      </c>
      <c r="AJ87" t="str">
        <f t="shared" si="65"/>
        <v/>
      </c>
      <c r="AK87">
        <f>IF(AND(E87 &lt;&gt; "*Supervisão*", E87 &lt;&gt; "Hookup Elétrico", E87 &lt;&gt; "Hookup Instrumentação", E87 &lt;&gt; "Hookup Tubulação"),VLOOKUP(AC87,referencia!$B$2:$C$29,2,FALSE),"")</f>
        <v>17.312874999999998</v>
      </c>
      <c r="AL87" t="str">
        <f t="shared" si="66"/>
        <v>62151186</v>
      </c>
      <c r="AM87">
        <f>IF(AND(E87 &lt;&gt; "*Supervisão*", E87 &lt;&gt; "Hookup Elétrico", E87 &lt;&gt; "Hookup Instrumentação", E87 &lt;&gt; "Hookup Tubulação"),IF(OR(E87 = "Fornecimento de Equipamento",E87 ="#Fornecimento de Equipamento"),AE87,VLOOKUP(AC87,referencia!$B$2:$D$29,3,FALSE)),"")</f>
        <v>23000004</v>
      </c>
      <c r="AN87">
        <f t="shared" si="73"/>
        <v>34.625749999999996</v>
      </c>
      <c r="AO87" t="str">
        <f>IF($E87 = "Preservação",VLOOKUP(AC87,referencia!$B$1:$G$29,6,FALSE),"")</f>
        <v/>
      </c>
      <c r="AP87" t="str">
        <f t="shared" si="67"/>
        <v/>
      </c>
      <c r="AQ87" t="str">
        <f>IF($E87 = "Preservação",VLOOKUP(AC87,referencia!$B$1:$F$29,5,FALSE),"")</f>
        <v/>
      </c>
      <c r="AR87" t="str">
        <f t="shared" si="68"/>
        <v/>
      </c>
      <c r="AS87">
        <f>VLOOKUP(AC87,referencia!$B$2:$E$29,4,FALSE)</f>
        <v>0.15</v>
      </c>
      <c r="AT87">
        <f t="shared" si="69"/>
        <v>39.819612499999998</v>
      </c>
      <c r="AU87">
        <f t="shared" si="70"/>
        <v>39.819612499999998</v>
      </c>
      <c r="AV87">
        <f t="shared" si="74"/>
        <v>52.53</v>
      </c>
      <c r="AW87">
        <f t="shared" si="71"/>
        <v>52.53</v>
      </c>
      <c r="AX87" t="str">
        <f t="shared" si="72"/>
        <v>Diferente</v>
      </c>
    </row>
    <row r="88" spans="1:50" x14ac:dyDescent="0.25">
      <c r="A88" t="s">
        <v>565</v>
      </c>
      <c r="B88" t="s">
        <v>566</v>
      </c>
      <c r="C88">
        <v>2000</v>
      </c>
      <c r="D88">
        <v>2340</v>
      </c>
      <c r="E88" t="s">
        <v>481</v>
      </c>
      <c r="F88" t="s">
        <v>478</v>
      </c>
      <c r="G88" t="s">
        <v>640</v>
      </c>
      <c r="H88" t="s">
        <v>641</v>
      </c>
      <c r="I88">
        <v>1</v>
      </c>
      <c r="J88" t="s">
        <v>549</v>
      </c>
      <c r="K88" t="s">
        <v>648</v>
      </c>
      <c r="L88">
        <v>2</v>
      </c>
      <c r="M88" s="18" t="str">
        <f t="shared" si="49"/>
        <v>032340091FERR2000-05053_2340</v>
      </c>
      <c r="N88" s="18" t="str">
        <f t="shared" si="50"/>
        <v>OSS</v>
      </c>
      <c r="O88" s="18" t="str">
        <f t="shared" si="51"/>
        <v>OSS2340</v>
      </c>
      <c r="P88" s="18" t="str">
        <f t="shared" si="52"/>
        <v>OSS2340Mecânica</v>
      </c>
      <c r="Q88" s="18" t="str">
        <f t="shared" si="53"/>
        <v>OSS2340MecânicaComissionamento</v>
      </c>
      <c r="R88" s="19" t="s">
        <v>671</v>
      </c>
      <c r="S88" s="18">
        <f t="shared" si="54"/>
        <v>4</v>
      </c>
      <c r="T88" s="18" t="str">
        <f t="shared" si="55"/>
        <v>EBN.OSS.2340.INM-01-0421</v>
      </c>
      <c r="U88" s="18" t="str">
        <f>IF(AND(J88&lt;&gt;"FIXO",E88="Fornecimento de Equipamento"),"#"&amp;montDes(E88,G88,H88),montDes(E88,G88,H88))</f>
        <v>Comissionamento - Jogo de calços de precisão, com 47 peças classe 2. - FERR2000-05053_2340</v>
      </c>
      <c r="V88" t="str">
        <f t="shared" si="56"/>
        <v>FERR2000-05053_2340</v>
      </c>
      <c r="W88" t="str">
        <f t="shared" si="57"/>
        <v>UN</v>
      </c>
      <c r="X88" t="s">
        <v>673</v>
      </c>
      <c r="Y88">
        <f t="shared" si="58"/>
        <v>1</v>
      </c>
      <c r="Z88" s="19" t="s">
        <v>738</v>
      </c>
      <c r="AA88" t="str">
        <f t="shared" si="59"/>
        <v>Comissionamento - Mecânica</v>
      </c>
      <c r="AB88" t="str">
        <f t="shared" si="60"/>
        <v>62151187</v>
      </c>
      <c r="AC88" t="str">
        <f>_xlfn.XLOOKUP(AA88,referencia!A:A,referencia!B:B,"Error",0,1)</f>
        <v>94002453</v>
      </c>
      <c r="AD88">
        <f t="shared" si="61"/>
        <v>2</v>
      </c>
      <c r="AE88" t="str">
        <f>IF(OR(E88 = "Fornecimento de Equipamento",E88 ="#Fornecimento de Equipamento"),codMateriais(C88,A88,Z88),"")</f>
        <v/>
      </c>
      <c r="AG88" t="str">
        <f t="shared" si="62"/>
        <v/>
      </c>
      <c r="AH88" t="str">
        <f t="shared" si="63"/>
        <v/>
      </c>
      <c r="AI88" t="str">
        <f t="shared" si="64"/>
        <v/>
      </c>
      <c r="AJ88" t="str">
        <f t="shared" si="65"/>
        <v/>
      </c>
      <c r="AK88">
        <f>IF(AND(E88 &lt;&gt; "*Supervisão*", E88 &lt;&gt; "Hookup Elétrico", E88 &lt;&gt; "Hookup Instrumentação", E88 &lt;&gt; "Hookup Tubulação"),VLOOKUP(AC88,referencia!$B$2:$C$29,2,FALSE),"")</f>
        <v>17.312874999999998</v>
      </c>
      <c r="AL88" t="str">
        <f t="shared" si="66"/>
        <v>62151187</v>
      </c>
      <c r="AM88">
        <f>IF(AND(E88 &lt;&gt; "*Supervisão*", E88 &lt;&gt; "Hookup Elétrico", E88 &lt;&gt; "Hookup Instrumentação", E88 &lt;&gt; "Hookup Tubulação"),IF(OR(E88 = "Fornecimento de Equipamento",E88 ="#Fornecimento de Equipamento"),AE88,VLOOKUP(AC88,referencia!$B$2:$D$29,3,FALSE)),"")</f>
        <v>23000004</v>
      </c>
      <c r="AN88">
        <f t="shared" si="73"/>
        <v>34.625749999999996</v>
      </c>
      <c r="AO88" t="str">
        <f>IF($E88 = "Preservação",VLOOKUP(AC88,referencia!$B$1:$G$29,6,FALSE),"")</f>
        <v/>
      </c>
      <c r="AP88" t="str">
        <f t="shared" si="67"/>
        <v/>
      </c>
      <c r="AQ88" t="str">
        <f>IF($E88 = "Preservação",VLOOKUP(AC88,referencia!$B$1:$F$29,5,FALSE),"")</f>
        <v/>
      </c>
      <c r="AR88" t="str">
        <f t="shared" si="68"/>
        <v/>
      </c>
      <c r="AS88">
        <f>VLOOKUP(AC88,referencia!$B$2:$E$29,4,FALSE)</f>
        <v>0.15</v>
      </c>
      <c r="AT88">
        <f t="shared" si="69"/>
        <v>39.819612499999998</v>
      </c>
      <c r="AU88">
        <f t="shared" si="70"/>
        <v>39.819612499999998</v>
      </c>
      <c r="AV88">
        <f t="shared" si="74"/>
        <v>52.53</v>
      </c>
      <c r="AW88">
        <f t="shared" si="71"/>
        <v>52.53</v>
      </c>
      <c r="AX88" t="str">
        <f t="shared" si="72"/>
        <v>Diferente</v>
      </c>
    </row>
    <row r="89" spans="1:50" x14ac:dyDescent="0.25">
      <c r="A89" t="s">
        <v>565</v>
      </c>
      <c r="B89" t="s">
        <v>566</v>
      </c>
      <c r="C89">
        <v>2000</v>
      </c>
      <c r="D89">
        <v>2340</v>
      </c>
      <c r="E89" t="s">
        <v>481</v>
      </c>
      <c r="F89" t="s">
        <v>478</v>
      </c>
      <c r="G89" t="s">
        <v>644</v>
      </c>
      <c r="H89" t="s">
        <v>645</v>
      </c>
      <c r="I89">
        <v>1</v>
      </c>
      <c r="J89" t="s">
        <v>549</v>
      </c>
      <c r="K89" t="s">
        <v>648</v>
      </c>
      <c r="L89">
        <v>2</v>
      </c>
      <c r="M89" s="18" t="str">
        <f t="shared" si="49"/>
        <v>032340091FERR2000-05054_2340</v>
      </c>
      <c r="N89" s="18" t="str">
        <f t="shared" si="50"/>
        <v>OSS</v>
      </c>
      <c r="O89" s="18" t="str">
        <f t="shared" si="51"/>
        <v>OSS2340</v>
      </c>
      <c r="P89" s="18" t="str">
        <f t="shared" si="52"/>
        <v>OSS2340Mecânica</v>
      </c>
      <c r="Q89" s="18" t="str">
        <f t="shared" si="53"/>
        <v>OSS2340MecânicaComissionamento</v>
      </c>
      <c r="R89" s="19" t="s">
        <v>672</v>
      </c>
      <c r="S89" s="18">
        <f t="shared" si="54"/>
        <v>4</v>
      </c>
      <c r="T89" s="18" t="str">
        <f t="shared" si="55"/>
        <v>EBN.OSS.2340.INM-01-0422</v>
      </c>
      <c r="U89" s="18" t="str">
        <f>IF(AND(J89&lt;&gt;"FIXO",E89="Fornecimento de Equipamento"),"#"&amp;montDes(E89,G89,H89),montDes(E89,G89,H89))</f>
        <v>Comissionamento - Haste de aço, Ø 20 mm x 1600 mm - FERR2000-05054_2340</v>
      </c>
      <c r="V89" t="str">
        <f t="shared" si="56"/>
        <v>FERR2000-05054_2340</v>
      </c>
      <c r="W89" t="str">
        <f t="shared" si="57"/>
        <v>UN</v>
      </c>
      <c r="X89" t="s">
        <v>673</v>
      </c>
      <c r="Y89">
        <f t="shared" si="58"/>
        <v>1</v>
      </c>
      <c r="Z89" s="19" t="s">
        <v>739</v>
      </c>
      <c r="AA89" t="str">
        <f t="shared" si="59"/>
        <v>Comissionamento - Mecânica</v>
      </c>
      <c r="AB89" t="str">
        <f t="shared" si="60"/>
        <v>62151188</v>
      </c>
      <c r="AC89" t="str">
        <f>_xlfn.XLOOKUP(AA89,referencia!A:A,referencia!B:B,"Error",0,1)</f>
        <v>94002453</v>
      </c>
      <c r="AD89">
        <f t="shared" si="61"/>
        <v>2</v>
      </c>
      <c r="AE89" t="str">
        <f>IF(OR(E89 = "Fornecimento de Equipamento",E89 ="#Fornecimento de Equipamento"),codMateriais(C89,A89,Z89),"")</f>
        <v/>
      </c>
      <c r="AG89" t="str">
        <f t="shared" si="62"/>
        <v/>
      </c>
      <c r="AH89" t="str">
        <f t="shared" si="63"/>
        <v/>
      </c>
      <c r="AI89" t="str">
        <f t="shared" si="64"/>
        <v/>
      </c>
      <c r="AJ89" t="str">
        <f t="shared" si="65"/>
        <v/>
      </c>
      <c r="AK89">
        <f>IF(AND(E89 &lt;&gt; "*Supervisão*", E89 &lt;&gt; "Hookup Elétrico", E89 &lt;&gt; "Hookup Instrumentação", E89 &lt;&gt; "Hookup Tubulação"),VLOOKUP(AC89,referencia!$B$2:$C$29,2,FALSE),"")</f>
        <v>17.312874999999998</v>
      </c>
      <c r="AL89" t="str">
        <f t="shared" si="66"/>
        <v>62151188</v>
      </c>
      <c r="AM89">
        <f>IF(AND(E89 &lt;&gt; "*Supervisão*", E89 &lt;&gt; "Hookup Elétrico", E89 &lt;&gt; "Hookup Instrumentação", E89 &lt;&gt; "Hookup Tubulação"),IF(OR(E89 = "Fornecimento de Equipamento",E89 ="#Fornecimento de Equipamento"),AE89,VLOOKUP(AC89,referencia!$B$2:$D$29,3,FALSE)),"")</f>
        <v>23000004</v>
      </c>
      <c r="AN89">
        <f t="shared" si="73"/>
        <v>34.625749999999996</v>
      </c>
      <c r="AO89" t="str">
        <f>IF($E89 = "Preservação",VLOOKUP(AC89,referencia!$B$1:$G$29,6,FALSE),"")</f>
        <v/>
      </c>
      <c r="AP89" t="str">
        <f t="shared" si="67"/>
        <v/>
      </c>
      <c r="AQ89" t="str">
        <f>IF($E89 = "Preservação",VLOOKUP(AC89,referencia!$B$1:$F$29,5,FALSE),"")</f>
        <v/>
      </c>
      <c r="AR89" t="str">
        <f t="shared" si="68"/>
        <v/>
      </c>
      <c r="AS89">
        <f>VLOOKUP(AC89,referencia!$B$2:$E$29,4,FALSE)</f>
        <v>0.15</v>
      </c>
      <c r="AT89">
        <f t="shared" si="69"/>
        <v>39.819612499999998</v>
      </c>
      <c r="AU89">
        <f t="shared" si="70"/>
        <v>39.819612499999998</v>
      </c>
      <c r="AV89">
        <f t="shared" si="74"/>
        <v>52.53</v>
      </c>
      <c r="AW89">
        <f t="shared" si="71"/>
        <v>52.53</v>
      </c>
      <c r="AX89" t="str">
        <f t="shared" si="72"/>
        <v>Diferente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2"/>
  <sheetViews>
    <sheetView workbookViewId="0">
      <selection activeCell="H19" sqref="H19"/>
    </sheetView>
  </sheetViews>
  <sheetFormatPr defaultRowHeight="15" x14ac:dyDescent="0.25"/>
  <sheetData>
    <row r="1" spans="1:3" x14ac:dyDescent="0.25">
      <c r="A1" t="s">
        <v>1</v>
      </c>
      <c r="B1" t="s">
        <v>2</v>
      </c>
      <c r="C1">
        <v>2000</v>
      </c>
    </row>
    <row r="2" spans="1:3" x14ac:dyDescent="0.25">
      <c r="A2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8DAD3-7529-4FE3-BCA0-DD0F5C5D665B}">
  <sheetPr codeName="Planilha2"/>
  <dimension ref="B1:J704"/>
  <sheetViews>
    <sheetView zoomScaleNormal="100" zoomScaleSheetLayoutView="100" workbookViewId="0">
      <selection activeCell="I9" sqref="I9"/>
    </sheetView>
  </sheetViews>
  <sheetFormatPr defaultRowHeight="15" x14ac:dyDescent="0.25"/>
  <cols>
    <col min="1" max="1" width="2.5703125" customWidth="1"/>
    <col min="2" max="2" width="13.28515625" style="1" customWidth="1"/>
    <col min="3" max="3" width="43.7109375" style="2" customWidth="1"/>
    <col min="5" max="5" width="30.5703125" bestFit="1" customWidth="1"/>
    <col min="6" max="6" width="41.7109375" customWidth="1"/>
  </cols>
  <sheetData>
    <row r="1" spans="2:10" ht="6.75" customHeight="1" thickBot="1" x14ac:dyDescent="0.3"/>
    <row r="2" spans="2:10" ht="34.5" customHeight="1" thickBot="1" x14ac:dyDescent="0.3">
      <c r="B2" s="11" t="s">
        <v>72</v>
      </c>
      <c r="C2" s="12" t="s">
        <v>476</v>
      </c>
    </row>
    <row r="3" spans="2:10" ht="9" customHeight="1" thickBot="1" x14ac:dyDescent="0.3">
      <c r="B3" s="3"/>
      <c r="C3" s="4"/>
    </row>
    <row r="4" spans="2:10" ht="30" customHeight="1" x14ac:dyDescent="0.25">
      <c r="B4" s="5">
        <v>1000</v>
      </c>
      <c r="C4" s="6" t="s">
        <v>468</v>
      </c>
      <c r="E4" s="5" t="s">
        <v>542</v>
      </c>
      <c r="F4" s="6" t="s">
        <v>542</v>
      </c>
      <c r="H4" t="s">
        <v>479</v>
      </c>
      <c r="J4" t="s">
        <v>70</v>
      </c>
    </row>
    <row r="5" spans="2:10" ht="30" customHeight="1" x14ac:dyDescent="0.25">
      <c r="B5" s="7">
        <v>1410</v>
      </c>
      <c r="C5" s="8" t="s">
        <v>4</v>
      </c>
      <c r="E5" s="7" t="s">
        <v>477</v>
      </c>
      <c r="F5" s="8" t="s">
        <v>477</v>
      </c>
      <c r="H5" t="s">
        <v>549</v>
      </c>
      <c r="J5" t="s">
        <v>478</v>
      </c>
    </row>
    <row r="6" spans="2:10" ht="30" customHeight="1" x14ac:dyDescent="0.25">
      <c r="B6" s="7">
        <v>1501</v>
      </c>
      <c r="C6" s="8" t="s">
        <v>5</v>
      </c>
      <c r="E6" s="7" t="s">
        <v>543</v>
      </c>
      <c r="F6" s="8" t="str">
        <f>_xlfn.CONCAT(E6," Equipamento")</f>
        <v>Acondicionamento Equipamento</v>
      </c>
      <c r="J6" t="s">
        <v>550</v>
      </c>
    </row>
    <row r="7" spans="2:10" ht="30" customHeight="1" x14ac:dyDescent="0.25">
      <c r="B7" s="7">
        <v>1502</v>
      </c>
      <c r="C7" s="8" t="s">
        <v>6</v>
      </c>
      <c r="E7" s="7" t="s">
        <v>481</v>
      </c>
      <c r="F7" s="8" t="str">
        <f t="shared" ref="F7:F17" si="0">_xlfn.CONCAT(E7," Equipamento")</f>
        <v>Comissionamento Equipamento</v>
      </c>
    </row>
    <row r="8" spans="2:10" ht="30" customHeight="1" x14ac:dyDescent="0.25">
      <c r="B8" s="7">
        <v>1503</v>
      </c>
      <c r="C8" s="8" t="s">
        <v>7</v>
      </c>
      <c r="E8" s="7" t="s">
        <v>544</v>
      </c>
      <c r="F8" s="8" t="str">
        <f t="shared" si="0"/>
        <v>Hookup Elétrico Equipamento</v>
      </c>
    </row>
    <row r="9" spans="2:10" ht="30" customHeight="1" x14ac:dyDescent="0.25">
      <c r="B9" s="7">
        <v>1504</v>
      </c>
      <c r="C9" s="8" t="s">
        <v>8</v>
      </c>
      <c r="E9" s="7" t="s">
        <v>545</v>
      </c>
      <c r="F9" s="8" t="str">
        <f t="shared" si="0"/>
        <v>Hookup Instrumentação Equipamento</v>
      </c>
    </row>
    <row r="10" spans="2:10" ht="30" customHeight="1" x14ac:dyDescent="0.25">
      <c r="B10" s="7">
        <v>1601</v>
      </c>
      <c r="C10" s="8" t="s">
        <v>9</v>
      </c>
      <c r="E10" s="7" t="s">
        <v>546</v>
      </c>
      <c r="F10" s="8" t="str">
        <f t="shared" si="0"/>
        <v>Hookup Tubulação Equipamento</v>
      </c>
    </row>
    <row r="11" spans="2:10" ht="30" customHeight="1" x14ac:dyDescent="0.25">
      <c r="B11" s="7">
        <v>1610</v>
      </c>
      <c r="C11" s="8" t="s">
        <v>10</v>
      </c>
      <c r="E11" s="7" t="s">
        <v>482</v>
      </c>
      <c r="F11" s="8" t="str">
        <f t="shared" si="0"/>
        <v>Montagem Equipamento</v>
      </c>
    </row>
    <row r="12" spans="2:10" ht="30" customHeight="1" x14ac:dyDescent="0.25">
      <c r="B12" s="7">
        <v>1620</v>
      </c>
      <c r="C12" s="8" t="s">
        <v>11</v>
      </c>
      <c r="E12" s="7" t="s">
        <v>480</v>
      </c>
      <c r="F12" s="8" t="str">
        <f t="shared" si="0"/>
        <v>Preservação Equipamento</v>
      </c>
    </row>
    <row r="13" spans="2:10" ht="30" customHeight="1" x14ac:dyDescent="0.25">
      <c r="B13" s="7">
        <v>1701</v>
      </c>
      <c r="C13" s="8" t="s">
        <v>12</v>
      </c>
      <c r="E13" s="7" t="s">
        <v>547</v>
      </c>
      <c r="F13" s="8" t="str">
        <f t="shared" si="0"/>
        <v>Supervisão de Comissionamento Equipamento</v>
      </c>
    </row>
    <row r="14" spans="2:10" ht="30" customHeight="1" x14ac:dyDescent="0.25">
      <c r="B14" s="7">
        <v>1702</v>
      </c>
      <c r="C14" s="8" t="s">
        <v>13</v>
      </c>
      <c r="E14" s="7" t="s">
        <v>483</v>
      </c>
      <c r="F14" s="8" t="str">
        <f t="shared" si="0"/>
        <v>Supervisão de Montagem Equipamento</v>
      </c>
    </row>
    <row r="15" spans="2:10" ht="30" customHeight="1" x14ac:dyDescent="0.25">
      <c r="B15" s="7">
        <v>1703</v>
      </c>
      <c r="C15" s="8" t="s">
        <v>14</v>
      </c>
      <c r="E15" s="7" t="s">
        <v>551</v>
      </c>
      <c r="F15" s="8" t="str">
        <f t="shared" si="0"/>
        <v>Supervisão Montagem#2 Equipamento</v>
      </c>
    </row>
    <row r="16" spans="2:10" ht="30" customHeight="1" x14ac:dyDescent="0.25">
      <c r="B16" s="7">
        <v>1704</v>
      </c>
      <c r="C16" s="8" t="s">
        <v>15</v>
      </c>
      <c r="E16" s="7" t="s">
        <v>552</v>
      </c>
      <c r="F16" s="8" t="str">
        <f t="shared" si="0"/>
        <v>Supervisão Comissionamento#2 Equipamento</v>
      </c>
    </row>
    <row r="17" spans="2:6" ht="30" customHeight="1" x14ac:dyDescent="0.25">
      <c r="B17" s="7">
        <v>1705</v>
      </c>
      <c r="C17" s="8" t="s">
        <v>16</v>
      </c>
      <c r="E17" s="7" t="s">
        <v>548</v>
      </c>
      <c r="F17" s="8" t="str">
        <f t="shared" si="0"/>
        <v>Teste Equipamento</v>
      </c>
    </row>
    <row r="18" spans="2:6" ht="30" customHeight="1" x14ac:dyDescent="0.25">
      <c r="B18" s="7">
        <v>1706</v>
      </c>
      <c r="C18" s="8" t="s">
        <v>17</v>
      </c>
    </row>
    <row r="19" spans="2:6" ht="30" customHeight="1" x14ac:dyDescent="0.25">
      <c r="B19" s="7">
        <v>1707</v>
      </c>
      <c r="C19" s="8" t="s">
        <v>18</v>
      </c>
    </row>
    <row r="20" spans="2:6" ht="30" customHeight="1" x14ac:dyDescent="0.25">
      <c r="B20" s="7">
        <v>1708</v>
      </c>
      <c r="C20" s="8" t="s">
        <v>19</v>
      </c>
    </row>
    <row r="21" spans="2:6" ht="30" customHeight="1" x14ac:dyDescent="0.25">
      <c r="B21" s="7">
        <v>1709</v>
      </c>
      <c r="C21" s="8" t="s">
        <v>20</v>
      </c>
    </row>
    <row r="22" spans="2:6" ht="30" customHeight="1" x14ac:dyDescent="0.25">
      <c r="B22" s="7">
        <v>1710</v>
      </c>
      <c r="C22" s="8" t="s">
        <v>21</v>
      </c>
    </row>
    <row r="23" spans="2:6" ht="30" customHeight="1" x14ac:dyDescent="0.25">
      <c r="B23" s="7">
        <v>1711</v>
      </c>
      <c r="C23" s="8" t="s">
        <v>19</v>
      </c>
    </row>
    <row r="24" spans="2:6" ht="30" customHeight="1" x14ac:dyDescent="0.25">
      <c r="B24" s="7">
        <v>1712</v>
      </c>
      <c r="C24" s="8" t="s">
        <v>22</v>
      </c>
    </row>
    <row r="25" spans="2:6" ht="30" customHeight="1" x14ac:dyDescent="0.25">
      <c r="B25" s="7">
        <v>1713</v>
      </c>
      <c r="C25" s="8" t="s">
        <v>23</v>
      </c>
    </row>
    <row r="26" spans="2:6" ht="30" customHeight="1" x14ac:dyDescent="0.25">
      <c r="B26" s="7">
        <v>1714</v>
      </c>
      <c r="C26" s="8" t="s">
        <v>24</v>
      </c>
    </row>
    <row r="27" spans="2:6" ht="30" customHeight="1" x14ac:dyDescent="0.25">
      <c r="B27" s="7">
        <v>1715</v>
      </c>
      <c r="C27" s="8" t="s">
        <v>6</v>
      </c>
    </row>
    <row r="28" spans="2:6" ht="30" customHeight="1" x14ac:dyDescent="0.25">
      <c r="B28" s="7">
        <v>1716</v>
      </c>
      <c r="C28" s="8" t="s">
        <v>19</v>
      </c>
    </row>
    <row r="29" spans="2:6" ht="30" customHeight="1" x14ac:dyDescent="0.25">
      <c r="B29" s="7">
        <v>1717</v>
      </c>
      <c r="C29" s="8" t="s">
        <v>25</v>
      </c>
    </row>
    <row r="30" spans="2:6" ht="30" customHeight="1" x14ac:dyDescent="0.25">
      <c r="B30" s="7">
        <v>1718</v>
      </c>
      <c r="C30" s="8" t="s">
        <v>26</v>
      </c>
    </row>
    <row r="31" spans="2:6" ht="30" customHeight="1" x14ac:dyDescent="0.25">
      <c r="B31" s="7">
        <v>1719</v>
      </c>
      <c r="C31" s="8" t="s">
        <v>27</v>
      </c>
    </row>
    <row r="32" spans="2:6" ht="30" customHeight="1" x14ac:dyDescent="0.25">
      <c r="B32" s="7">
        <v>1720</v>
      </c>
      <c r="C32" s="8" t="s">
        <v>28</v>
      </c>
    </row>
    <row r="33" spans="2:3" ht="30" customHeight="1" x14ac:dyDescent="0.25">
      <c r="B33" s="7">
        <v>1721</v>
      </c>
      <c r="C33" s="8" t="s">
        <v>29</v>
      </c>
    </row>
    <row r="34" spans="2:3" ht="30" customHeight="1" x14ac:dyDescent="0.25">
      <c r="B34" s="7">
        <v>1722</v>
      </c>
      <c r="C34" s="8" t="s">
        <v>30</v>
      </c>
    </row>
    <row r="35" spans="2:3" ht="30" customHeight="1" x14ac:dyDescent="0.25">
      <c r="B35" s="7">
        <v>1723</v>
      </c>
      <c r="C35" s="8" t="s">
        <v>31</v>
      </c>
    </row>
    <row r="36" spans="2:3" ht="30" customHeight="1" x14ac:dyDescent="0.25">
      <c r="B36" s="7">
        <v>1724</v>
      </c>
      <c r="C36" s="8" t="s">
        <v>32</v>
      </c>
    </row>
    <row r="37" spans="2:3" ht="30" customHeight="1" x14ac:dyDescent="0.25">
      <c r="B37" s="7">
        <v>1725</v>
      </c>
      <c r="C37" s="8" t="s">
        <v>33</v>
      </c>
    </row>
    <row r="38" spans="2:3" ht="30" customHeight="1" x14ac:dyDescent="0.25">
      <c r="B38" s="7">
        <v>1726</v>
      </c>
      <c r="C38" s="8" t="s">
        <v>34</v>
      </c>
    </row>
    <row r="39" spans="2:3" ht="30" customHeight="1" x14ac:dyDescent="0.25">
      <c r="B39" s="7">
        <v>1727</v>
      </c>
      <c r="C39" s="8" t="s">
        <v>6</v>
      </c>
    </row>
    <row r="40" spans="2:3" ht="30" customHeight="1" x14ac:dyDescent="0.25">
      <c r="B40" s="7">
        <v>1729</v>
      </c>
      <c r="C40" s="8" t="s">
        <v>35</v>
      </c>
    </row>
    <row r="41" spans="2:3" ht="30" customHeight="1" x14ac:dyDescent="0.25">
      <c r="B41" s="7">
        <v>1730</v>
      </c>
      <c r="C41" s="8" t="s">
        <v>36</v>
      </c>
    </row>
    <row r="42" spans="2:3" ht="30" customHeight="1" x14ac:dyDescent="0.25">
      <c r="B42" s="7">
        <v>1731</v>
      </c>
      <c r="C42" s="8" t="s">
        <v>37</v>
      </c>
    </row>
    <row r="43" spans="2:3" ht="30" customHeight="1" x14ac:dyDescent="0.25">
      <c r="B43" s="7">
        <v>1732</v>
      </c>
      <c r="C43" s="8" t="s">
        <v>38</v>
      </c>
    </row>
    <row r="44" spans="2:3" ht="30" customHeight="1" x14ac:dyDescent="0.25">
      <c r="B44" s="7">
        <v>1733</v>
      </c>
      <c r="C44" s="8" t="s">
        <v>39</v>
      </c>
    </row>
    <row r="45" spans="2:3" ht="30" customHeight="1" x14ac:dyDescent="0.25">
      <c r="B45" s="7">
        <v>1734</v>
      </c>
      <c r="C45" s="8" t="s">
        <v>40</v>
      </c>
    </row>
    <row r="46" spans="2:3" ht="30" customHeight="1" x14ac:dyDescent="0.25">
      <c r="B46" s="7">
        <v>1735</v>
      </c>
      <c r="C46" s="8" t="s">
        <v>41</v>
      </c>
    </row>
    <row r="47" spans="2:3" ht="30" customHeight="1" x14ac:dyDescent="0.25">
      <c r="B47" s="7">
        <v>1736</v>
      </c>
      <c r="C47" s="8" t="s">
        <v>42</v>
      </c>
    </row>
    <row r="48" spans="2:3" ht="30" customHeight="1" x14ac:dyDescent="0.25">
      <c r="B48" s="7">
        <v>1737</v>
      </c>
      <c r="C48" s="8" t="s">
        <v>43</v>
      </c>
    </row>
    <row r="49" spans="2:3" ht="30" customHeight="1" x14ac:dyDescent="0.25">
      <c r="B49" s="7">
        <v>1738</v>
      </c>
      <c r="C49" s="8" t="s">
        <v>44</v>
      </c>
    </row>
    <row r="50" spans="2:3" ht="30" customHeight="1" x14ac:dyDescent="0.25">
      <c r="B50" s="7">
        <v>1739</v>
      </c>
      <c r="C50" s="8" t="s">
        <v>45</v>
      </c>
    </row>
    <row r="51" spans="2:3" ht="30" customHeight="1" x14ac:dyDescent="0.25">
      <c r="B51" s="7">
        <v>1741</v>
      </c>
      <c r="C51" s="8" t="s">
        <v>46</v>
      </c>
    </row>
    <row r="52" spans="2:3" ht="30" customHeight="1" x14ac:dyDescent="0.25">
      <c r="B52" s="7">
        <v>1742</v>
      </c>
      <c r="C52" s="8" t="s">
        <v>46</v>
      </c>
    </row>
    <row r="53" spans="2:3" ht="30" customHeight="1" x14ac:dyDescent="0.25">
      <c r="B53" s="7">
        <v>1806</v>
      </c>
      <c r="C53" s="8" t="s">
        <v>47</v>
      </c>
    </row>
    <row r="54" spans="2:3" ht="30" customHeight="1" x14ac:dyDescent="0.25">
      <c r="B54" s="7">
        <v>1820</v>
      </c>
      <c r="C54" s="8" t="s">
        <v>48</v>
      </c>
    </row>
    <row r="55" spans="2:3" ht="30" customHeight="1" x14ac:dyDescent="0.25">
      <c r="B55" s="7">
        <v>1830</v>
      </c>
      <c r="C55" s="8" t="s">
        <v>49</v>
      </c>
    </row>
    <row r="56" spans="2:3" ht="30" customHeight="1" x14ac:dyDescent="0.25">
      <c r="B56" s="7">
        <v>1821</v>
      </c>
      <c r="C56" s="8" t="s">
        <v>50</v>
      </c>
    </row>
    <row r="57" spans="2:3" ht="30" customHeight="1" x14ac:dyDescent="0.25">
      <c r="B57" s="7">
        <v>1822</v>
      </c>
      <c r="C57" s="8" t="s">
        <v>51</v>
      </c>
    </row>
    <row r="58" spans="2:3" ht="30" customHeight="1" x14ac:dyDescent="0.25">
      <c r="B58" s="7">
        <v>1910</v>
      </c>
      <c r="C58" s="8" t="s">
        <v>52</v>
      </c>
    </row>
    <row r="59" spans="2:3" ht="30" customHeight="1" x14ac:dyDescent="0.25">
      <c r="B59" s="7">
        <v>1911</v>
      </c>
      <c r="C59" s="8" t="s">
        <v>53</v>
      </c>
    </row>
    <row r="60" spans="2:3" ht="30" customHeight="1" x14ac:dyDescent="0.25">
      <c r="B60" s="7">
        <v>1950</v>
      </c>
      <c r="C60" s="8" t="s">
        <v>3</v>
      </c>
    </row>
    <row r="61" spans="2:3" ht="30" customHeight="1" x14ac:dyDescent="0.25">
      <c r="B61" s="7">
        <v>1951</v>
      </c>
      <c r="C61" s="8" t="s">
        <v>54</v>
      </c>
    </row>
    <row r="62" spans="2:3" ht="30" customHeight="1" x14ac:dyDescent="0.25">
      <c r="B62" s="7">
        <v>1952</v>
      </c>
      <c r="C62" s="8" t="s">
        <v>55</v>
      </c>
    </row>
    <row r="63" spans="2:3" ht="30" customHeight="1" x14ac:dyDescent="0.25">
      <c r="B63" s="7">
        <v>1953</v>
      </c>
      <c r="C63" s="8" t="s">
        <v>56</v>
      </c>
    </row>
    <row r="64" spans="2:3" ht="30" customHeight="1" x14ac:dyDescent="0.25">
      <c r="B64" s="7">
        <v>1954</v>
      </c>
      <c r="C64" s="8" t="s">
        <v>57</v>
      </c>
    </row>
    <row r="65" spans="2:3" ht="30" customHeight="1" x14ac:dyDescent="0.25">
      <c r="B65" s="7">
        <v>1955</v>
      </c>
      <c r="C65" s="8" t="s">
        <v>58</v>
      </c>
    </row>
    <row r="66" spans="2:3" ht="30" customHeight="1" x14ac:dyDescent="0.25">
      <c r="B66" s="7">
        <v>1956</v>
      </c>
      <c r="C66" s="8" t="s">
        <v>59</v>
      </c>
    </row>
    <row r="67" spans="2:3" ht="30" customHeight="1" x14ac:dyDescent="0.25">
      <c r="B67" s="7">
        <v>1957</v>
      </c>
      <c r="C67" s="8" t="s">
        <v>60</v>
      </c>
    </row>
    <row r="68" spans="2:3" ht="30" customHeight="1" x14ac:dyDescent="0.25">
      <c r="B68" s="7">
        <v>1962</v>
      </c>
      <c r="C68" s="8" t="s">
        <v>61</v>
      </c>
    </row>
    <row r="69" spans="2:3" ht="30" customHeight="1" x14ac:dyDescent="0.25">
      <c r="B69" s="7">
        <v>1963</v>
      </c>
      <c r="C69" s="8" t="s">
        <v>62</v>
      </c>
    </row>
    <row r="70" spans="2:3" ht="30" customHeight="1" x14ac:dyDescent="0.25">
      <c r="B70" s="7">
        <v>1964</v>
      </c>
      <c r="C70" s="8" t="s">
        <v>63</v>
      </c>
    </row>
    <row r="71" spans="2:3" ht="30" customHeight="1" x14ac:dyDescent="0.25">
      <c r="B71" s="7">
        <v>1965</v>
      </c>
      <c r="C71" s="8" t="s">
        <v>64</v>
      </c>
    </row>
    <row r="72" spans="2:3" ht="30" customHeight="1" x14ac:dyDescent="0.25">
      <c r="B72" s="7">
        <v>1966</v>
      </c>
      <c r="C72" s="8" t="s">
        <v>65</v>
      </c>
    </row>
    <row r="73" spans="2:3" ht="30" customHeight="1" x14ac:dyDescent="0.25">
      <c r="B73" s="7">
        <v>1967</v>
      </c>
      <c r="C73" s="8" t="s">
        <v>66</v>
      </c>
    </row>
    <row r="74" spans="2:3" ht="30" customHeight="1" x14ac:dyDescent="0.25">
      <c r="B74" s="7">
        <v>1973</v>
      </c>
      <c r="C74" s="8" t="s">
        <v>67</v>
      </c>
    </row>
    <row r="75" spans="2:3" ht="30" customHeight="1" x14ac:dyDescent="0.25">
      <c r="B75" s="7">
        <v>1978</v>
      </c>
      <c r="C75" s="8" t="s">
        <v>68</v>
      </c>
    </row>
    <row r="76" spans="2:3" ht="30" customHeight="1" x14ac:dyDescent="0.25">
      <c r="B76" s="7">
        <v>1979</v>
      </c>
      <c r="C76" s="8" t="s">
        <v>69</v>
      </c>
    </row>
    <row r="77" spans="2:3" ht="30" customHeight="1" x14ac:dyDescent="0.25">
      <c r="B77" s="7">
        <v>1980</v>
      </c>
      <c r="C77" s="8" t="s">
        <v>70</v>
      </c>
    </row>
    <row r="78" spans="2:3" ht="30" customHeight="1" x14ac:dyDescent="0.25">
      <c r="B78" s="7">
        <v>1981</v>
      </c>
      <c r="C78" s="8" t="s">
        <v>71</v>
      </c>
    </row>
    <row r="79" spans="2:3" ht="30" customHeight="1" x14ac:dyDescent="0.25">
      <c r="B79" s="7">
        <v>1982</v>
      </c>
      <c r="C79" s="8" t="s">
        <v>72</v>
      </c>
    </row>
    <row r="80" spans="2:3" ht="30" customHeight="1" x14ac:dyDescent="0.25">
      <c r="B80" s="7">
        <v>1983</v>
      </c>
      <c r="C80" s="8" t="s">
        <v>73</v>
      </c>
    </row>
    <row r="81" spans="2:3" ht="30" customHeight="1" x14ac:dyDescent="0.25">
      <c r="B81" s="7">
        <v>1984</v>
      </c>
      <c r="C81" s="8" t="s">
        <v>74</v>
      </c>
    </row>
    <row r="82" spans="2:3" ht="30" customHeight="1" x14ac:dyDescent="0.25">
      <c r="B82" s="7">
        <v>1985</v>
      </c>
      <c r="C82" s="8" t="s">
        <v>75</v>
      </c>
    </row>
    <row r="83" spans="2:3" ht="30" customHeight="1" x14ac:dyDescent="0.25">
      <c r="B83" s="7">
        <v>1988</v>
      </c>
      <c r="C83" s="8" t="s">
        <v>76</v>
      </c>
    </row>
    <row r="84" spans="2:3" ht="30" customHeight="1" x14ac:dyDescent="0.25">
      <c r="B84" s="7">
        <v>1993</v>
      </c>
      <c r="C84" s="8" t="s">
        <v>77</v>
      </c>
    </row>
    <row r="85" spans="2:3" ht="30" customHeight="1" x14ac:dyDescent="0.25">
      <c r="B85" s="7">
        <v>1996</v>
      </c>
      <c r="C85" s="8" t="s">
        <v>78</v>
      </c>
    </row>
    <row r="86" spans="2:3" ht="30" customHeight="1" x14ac:dyDescent="0.25">
      <c r="B86" s="7">
        <v>1997</v>
      </c>
      <c r="C86" s="8" t="s">
        <v>79</v>
      </c>
    </row>
    <row r="87" spans="2:3" ht="30" customHeight="1" x14ac:dyDescent="0.25">
      <c r="B87" s="7">
        <v>1998</v>
      </c>
      <c r="C87" s="8" t="s">
        <v>80</v>
      </c>
    </row>
    <row r="88" spans="2:3" ht="30" customHeight="1" x14ac:dyDescent="0.25">
      <c r="B88" s="7">
        <v>1999</v>
      </c>
      <c r="C88" s="8" t="s">
        <v>81</v>
      </c>
    </row>
    <row r="89" spans="2:3" ht="30" customHeight="1" x14ac:dyDescent="0.25">
      <c r="B89" s="7">
        <v>2000</v>
      </c>
      <c r="C89" s="8" t="s">
        <v>469</v>
      </c>
    </row>
    <row r="90" spans="2:3" ht="30" customHeight="1" x14ac:dyDescent="0.25">
      <c r="B90" s="7">
        <v>2310</v>
      </c>
      <c r="C90" s="8" t="s">
        <v>82</v>
      </c>
    </row>
    <row r="91" spans="2:3" ht="30" customHeight="1" x14ac:dyDescent="0.25">
      <c r="B91" s="7">
        <v>2320</v>
      </c>
      <c r="C91" s="8" t="s">
        <v>83</v>
      </c>
    </row>
    <row r="92" spans="2:3" ht="30" customHeight="1" x14ac:dyDescent="0.25">
      <c r="B92" s="7">
        <v>2330</v>
      </c>
      <c r="C92" s="8" t="s">
        <v>84</v>
      </c>
    </row>
    <row r="93" spans="2:3" ht="30" customHeight="1" x14ac:dyDescent="0.25">
      <c r="B93" s="7">
        <v>2340</v>
      </c>
      <c r="C93" s="8" t="s">
        <v>85</v>
      </c>
    </row>
    <row r="94" spans="2:3" ht="30" customHeight="1" x14ac:dyDescent="0.25">
      <c r="B94" s="7">
        <v>2350</v>
      </c>
      <c r="C94" s="8" t="s">
        <v>86</v>
      </c>
    </row>
    <row r="95" spans="2:3" ht="30" customHeight="1" x14ac:dyDescent="0.25">
      <c r="B95" s="7">
        <v>2360</v>
      </c>
      <c r="C95" s="8" t="s">
        <v>87</v>
      </c>
    </row>
    <row r="96" spans="2:3" ht="30" customHeight="1" x14ac:dyDescent="0.25">
      <c r="B96" s="7">
        <v>2370</v>
      </c>
      <c r="C96" s="8" t="s">
        <v>88</v>
      </c>
    </row>
    <row r="97" spans="2:3" ht="30" customHeight="1" x14ac:dyDescent="0.25">
      <c r="B97" s="7">
        <v>2380</v>
      </c>
      <c r="C97" s="8" t="s">
        <v>89</v>
      </c>
    </row>
    <row r="98" spans="2:3" ht="30" customHeight="1" x14ac:dyDescent="0.25">
      <c r="B98" s="7">
        <v>2501</v>
      </c>
      <c r="C98" s="8" t="s">
        <v>51</v>
      </c>
    </row>
    <row r="99" spans="2:3" ht="30" customHeight="1" x14ac:dyDescent="0.25">
      <c r="B99" s="7">
        <v>2502</v>
      </c>
      <c r="C99" s="8" t="s">
        <v>90</v>
      </c>
    </row>
    <row r="100" spans="2:3" ht="30" customHeight="1" x14ac:dyDescent="0.25">
      <c r="B100" s="7">
        <v>2503</v>
      </c>
      <c r="C100" s="8" t="s">
        <v>5</v>
      </c>
    </row>
    <row r="101" spans="2:3" ht="30" customHeight="1" x14ac:dyDescent="0.25">
      <c r="B101" s="7">
        <v>2504</v>
      </c>
      <c r="C101" s="8" t="s">
        <v>91</v>
      </c>
    </row>
    <row r="102" spans="2:3" ht="30" customHeight="1" x14ac:dyDescent="0.25">
      <c r="B102" s="7">
        <v>2510</v>
      </c>
      <c r="C102" s="8" t="s">
        <v>19</v>
      </c>
    </row>
    <row r="103" spans="2:3" ht="30" customHeight="1" x14ac:dyDescent="0.25">
      <c r="B103" s="7">
        <v>2511</v>
      </c>
      <c r="C103" s="8" t="s">
        <v>7</v>
      </c>
    </row>
    <row r="104" spans="2:3" ht="30" customHeight="1" x14ac:dyDescent="0.25">
      <c r="B104" s="7">
        <v>2512</v>
      </c>
      <c r="C104" s="8" t="s">
        <v>51</v>
      </c>
    </row>
    <row r="105" spans="2:3" ht="30" customHeight="1" x14ac:dyDescent="0.25">
      <c r="B105" s="7">
        <v>2701</v>
      </c>
      <c r="C105" s="8" t="s">
        <v>92</v>
      </c>
    </row>
    <row r="106" spans="2:3" ht="30" customHeight="1" x14ac:dyDescent="0.25">
      <c r="B106" s="7">
        <v>2702</v>
      </c>
      <c r="C106" s="8" t="s">
        <v>93</v>
      </c>
    </row>
    <row r="107" spans="2:3" ht="30" customHeight="1" x14ac:dyDescent="0.25">
      <c r="B107" s="7">
        <v>2703</v>
      </c>
      <c r="C107" s="8" t="s">
        <v>94</v>
      </c>
    </row>
    <row r="108" spans="2:3" ht="30" customHeight="1" x14ac:dyDescent="0.25">
      <c r="B108" s="7">
        <v>2704</v>
      </c>
      <c r="C108" s="8" t="s">
        <v>95</v>
      </c>
    </row>
    <row r="109" spans="2:3" ht="30" customHeight="1" x14ac:dyDescent="0.25">
      <c r="B109" s="7">
        <v>2705</v>
      </c>
      <c r="C109" s="8" t="s">
        <v>96</v>
      </c>
    </row>
    <row r="110" spans="2:3" ht="30" customHeight="1" x14ac:dyDescent="0.25">
      <c r="B110" s="7">
        <v>2706</v>
      </c>
      <c r="C110" s="8" t="s">
        <v>97</v>
      </c>
    </row>
    <row r="111" spans="2:3" ht="30" customHeight="1" x14ac:dyDescent="0.25">
      <c r="B111" s="7">
        <v>2707</v>
      </c>
      <c r="C111" s="8" t="s">
        <v>98</v>
      </c>
    </row>
    <row r="112" spans="2:3" ht="30" customHeight="1" x14ac:dyDescent="0.25">
      <c r="B112" s="7">
        <v>2708</v>
      </c>
      <c r="C112" s="8" t="s">
        <v>32</v>
      </c>
    </row>
    <row r="113" spans="2:3" ht="30" customHeight="1" x14ac:dyDescent="0.25">
      <c r="B113" s="7">
        <v>2709</v>
      </c>
      <c r="C113" s="8" t="s">
        <v>99</v>
      </c>
    </row>
    <row r="114" spans="2:3" ht="30" customHeight="1" x14ac:dyDescent="0.25">
      <c r="B114" s="7">
        <v>2710</v>
      </c>
      <c r="C114" s="8" t="s">
        <v>19</v>
      </c>
    </row>
    <row r="115" spans="2:3" ht="30" customHeight="1" x14ac:dyDescent="0.25">
      <c r="B115" s="7">
        <v>2711</v>
      </c>
      <c r="C115" s="8" t="s">
        <v>100</v>
      </c>
    </row>
    <row r="116" spans="2:3" ht="30" customHeight="1" x14ac:dyDescent="0.25">
      <c r="B116" s="7">
        <v>2712</v>
      </c>
      <c r="C116" s="8" t="s">
        <v>19</v>
      </c>
    </row>
    <row r="117" spans="2:3" ht="30" customHeight="1" x14ac:dyDescent="0.25">
      <c r="B117" s="7">
        <v>2713</v>
      </c>
      <c r="C117" s="8" t="s">
        <v>101</v>
      </c>
    </row>
    <row r="118" spans="2:3" ht="30" customHeight="1" x14ac:dyDescent="0.25">
      <c r="B118" s="7">
        <v>2714</v>
      </c>
      <c r="C118" s="8" t="s">
        <v>102</v>
      </c>
    </row>
    <row r="119" spans="2:3" ht="30" customHeight="1" x14ac:dyDescent="0.25">
      <c r="B119" s="7">
        <v>2715</v>
      </c>
      <c r="C119" s="8" t="s">
        <v>103</v>
      </c>
    </row>
    <row r="120" spans="2:3" ht="30" customHeight="1" x14ac:dyDescent="0.25">
      <c r="B120" s="7">
        <v>2716</v>
      </c>
      <c r="C120" s="8" t="s">
        <v>19</v>
      </c>
    </row>
    <row r="121" spans="2:3" ht="30" customHeight="1" x14ac:dyDescent="0.25">
      <c r="B121" s="7">
        <v>2717</v>
      </c>
      <c r="C121" s="8" t="s">
        <v>57</v>
      </c>
    </row>
    <row r="122" spans="2:3" ht="30" customHeight="1" x14ac:dyDescent="0.25">
      <c r="B122" s="7">
        <v>2718</v>
      </c>
      <c r="C122" s="8" t="s">
        <v>104</v>
      </c>
    </row>
    <row r="123" spans="2:3" ht="30" customHeight="1" x14ac:dyDescent="0.25">
      <c r="B123" s="7">
        <v>2719</v>
      </c>
      <c r="C123" s="8" t="s">
        <v>105</v>
      </c>
    </row>
    <row r="124" spans="2:3" ht="30" customHeight="1" x14ac:dyDescent="0.25">
      <c r="B124" s="7">
        <v>2720</v>
      </c>
      <c r="C124" s="8" t="s">
        <v>6</v>
      </c>
    </row>
    <row r="125" spans="2:3" ht="30" customHeight="1" x14ac:dyDescent="0.25">
      <c r="B125" s="7">
        <v>2721</v>
      </c>
      <c r="C125" s="8" t="s">
        <v>106</v>
      </c>
    </row>
    <row r="126" spans="2:3" ht="30" customHeight="1" x14ac:dyDescent="0.25">
      <c r="B126" s="7">
        <v>2722</v>
      </c>
      <c r="C126" s="8" t="s">
        <v>107</v>
      </c>
    </row>
    <row r="127" spans="2:3" ht="30" customHeight="1" x14ac:dyDescent="0.25">
      <c r="B127" s="7">
        <v>2723</v>
      </c>
      <c r="C127" s="8" t="s">
        <v>19</v>
      </c>
    </row>
    <row r="128" spans="2:3" ht="30" customHeight="1" x14ac:dyDescent="0.25">
      <c r="B128" s="7">
        <v>2724</v>
      </c>
      <c r="C128" s="8" t="s">
        <v>108</v>
      </c>
    </row>
    <row r="129" spans="2:3" ht="30" customHeight="1" x14ac:dyDescent="0.25">
      <c r="B129" s="7">
        <v>2725</v>
      </c>
      <c r="C129" s="8" t="s">
        <v>109</v>
      </c>
    </row>
    <row r="130" spans="2:3" ht="30" customHeight="1" x14ac:dyDescent="0.25">
      <c r="B130" s="7">
        <v>2726</v>
      </c>
      <c r="C130" s="8" t="s">
        <v>110</v>
      </c>
    </row>
    <row r="131" spans="2:3" ht="30" customHeight="1" x14ac:dyDescent="0.25">
      <c r="B131" s="7">
        <v>2727</v>
      </c>
      <c r="C131" s="8" t="s">
        <v>111</v>
      </c>
    </row>
    <row r="132" spans="2:3" ht="30" customHeight="1" x14ac:dyDescent="0.25">
      <c r="B132" s="7">
        <v>2728</v>
      </c>
      <c r="C132" s="8" t="s">
        <v>112</v>
      </c>
    </row>
    <row r="133" spans="2:3" ht="30" customHeight="1" x14ac:dyDescent="0.25">
      <c r="B133" s="7">
        <v>2729</v>
      </c>
      <c r="C133" s="8" t="s">
        <v>113</v>
      </c>
    </row>
    <row r="134" spans="2:3" ht="30" customHeight="1" x14ac:dyDescent="0.25">
      <c r="B134" s="7">
        <v>2730</v>
      </c>
      <c r="C134" s="8" t="s">
        <v>19</v>
      </c>
    </row>
    <row r="135" spans="2:3" ht="30" customHeight="1" x14ac:dyDescent="0.25">
      <c r="B135" s="7">
        <v>2731</v>
      </c>
      <c r="C135" s="8" t="s">
        <v>114</v>
      </c>
    </row>
    <row r="136" spans="2:3" ht="30" customHeight="1" x14ac:dyDescent="0.25">
      <c r="B136" s="7">
        <v>2732</v>
      </c>
      <c r="C136" s="8" t="s">
        <v>19</v>
      </c>
    </row>
    <row r="137" spans="2:3" ht="30" customHeight="1" x14ac:dyDescent="0.25">
      <c r="B137" s="7">
        <v>2733</v>
      </c>
      <c r="C137" s="8" t="s">
        <v>115</v>
      </c>
    </row>
    <row r="138" spans="2:3" ht="30" customHeight="1" x14ac:dyDescent="0.25">
      <c r="B138" s="7">
        <v>2734</v>
      </c>
      <c r="C138" s="8" t="s">
        <v>116</v>
      </c>
    </row>
    <row r="139" spans="2:3" ht="30" customHeight="1" x14ac:dyDescent="0.25">
      <c r="B139" s="7">
        <v>2735</v>
      </c>
      <c r="C139" s="8" t="s">
        <v>117</v>
      </c>
    </row>
    <row r="140" spans="2:3" ht="30" customHeight="1" x14ac:dyDescent="0.25">
      <c r="B140" s="7">
        <v>2736</v>
      </c>
      <c r="C140" s="8" t="s">
        <v>118</v>
      </c>
    </row>
    <row r="141" spans="2:3" ht="30" customHeight="1" x14ac:dyDescent="0.25">
      <c r="B141" s="7">
        <v>2737</v>
      </c>
      <c r="C141" s="8" t="s">
        <v>119</v>
      </c>
    </row>
    <row r="142" spans="2:3" ht="30" customHeight="1" x14ac:dyDescent="0.25">
      <c r="B142" s="7">
        <v>2738</v>
      </c>
      <c r="C142" s="8" t="s">
        <v>120</v>
      </c>
    </row>
    <row r="143" spans="2:3" ht="30" customHeight="1" x14ac:dyDescent="0.25">
      <c r="B143" s="7">
        <v>2739</v>
      </c>
      <c r="C143" s="8" t="s">
        <v>121</v>
      </c>
    </row>
    <row r="144" spans="2:3" ht="30" customHeight="1" x14ac:dyDescent="0.25">
      <c r="B144" s="7">
        <v>2740</v>
      </c>
      <c r="C144" s="8" t="s">
        <v>122</v>
      </c>
    </row>
    <row r="145" spans="2:3" ht="30" customHeight="1" x14ac:dyDescent="0.25">
      <c r="B145" s="7">
        <v>2741</v>
      </c>
      <c r="C145" s="8" t="s">
        <v>123</v>
      </c>
    </row>
    <row r="146" spans="2:3" ht="30" customHeight="1" x14ac:dyDescent="0.25">
      <c r="B146" s="7">
        <v>2742</v>
      </c>
      <c r="C146" s="8" t="s">
        <v>124</v>
      </c>
    </row>
    <row r="147" spans="2:3" ht="30" customHeight="1" x14ac:dyDescent="0.25">
      <c r="B147" s="7">
        <v>2743</v>
      </c>
      <c r="C147" s="8" t="s">
        <v>43</v>
      </c>
    </row>
    <row r="148" spans="2:3" ht="30" customHeight="1" x14ac:dyDescent="0.25">
      <c r="B148" s="7">
        <v>2744</v>
      </c>
      <c r="C148" s="8" t="s">
        <v>125</v>
      </c>
    </row>
    <row r="149" spans="2:3" ht="30" customHeight="1" x14ac:dyDescent="0.25">
      <c r="B149" s="7">
        <v>2810</v>
      </c>
      <c r="C149" s="8" t="s">
        <v>126</v>
      </c>
    </row>
    <row r="150" spans="2:3" ht="30" customHeight="1" x14ac:dyDescent="0.25">
      <c r="B150" s="7">
        <v>2811</v>
      </c>
      <c r="C150" s="8" t="s">
        <v>127</v>
      </c>
    </row>
    <row r="151" spans="2:3" ht="30" customHeight="1" x14ac:dyDescent="0.25">
      <c r="B151" s="7">
        <v>2820</v>
      </c>
      <c r="C151" s="8" t="s">
        <v>128</v>
      </c>
    </row>
    <row r="152" spans="2:3" ht="30" customHeight="1" x14ac:dyDescent="0.25">
      <c r="B152" s="7">
        <v>2830</v>
      </c>
      <c r="C152" s="8" t="s">
        <v>129</v>
      </c>
    </row>
    <row r="153" spans="2:3" ht="30" customHeight="1" x14ac:dyDescent="0.25">
      <c r="B153" s="7">
        <v>2840</v>
      </c>
      <c r="C153" s="8" t="s">
        <v>130</v>
      </c>
    </row>
    <row r="154" spans="2:3" ht="30" customHeight="1" x14ac:dyDescent="0.25">
      <c r="B154" s="7">
        <v>2850</v>
      </c>
      <c r="C154" s="8" t="s">
        <v>131</v>
      </c>
    </row>
    <row r="155" spans="2:3" ht="30" customHeight="1" x14ac:dyDescent="0.25">
      <c r="B155" s="7">
        <v>2910</v>
      </c>
      <c r="C155" s="8" t="s">
        <v>52</v>
      </c>
    </row>
    <row r="156" spans="2:3" ht="30" customHeight="1" x14ac:dyDescent="0.25">
      <c r="B156" s="7">
        <v>2950</v>
      </c>
      <c r="C156" s="8" t="s">
        <v>3</v>
      </c>
    </row>
    <row r="157" spans="2:3" ht="30" customHeight="1" x14ac:dyDescent="0.25">
      <c r="B157" s="7">
        <v>2952</v>
      </c>
      <c r="C157" s="8" t="s">
        <v>55</v>
      </c>
    </row>
    <row r="158" spans="2:3" ht="30" customHeight="1" x14ac:dyDescent="0.25">
      <c r="B158" s="7">
        <v>2953</v>
      </c>
      <c r="C158" s="8" t="s">
        <v>56</v>
      </c>
    </row>
    <row r="159" spans="2:3" ht="30" customHeight="1" x14ac:dyDescent="0.25">
      <c r="B159" s="7">
        <v>2954</v>
      </c>
      <c r="C159" s="8" t="s">
        <v>57</v>
      </c>
    </row>
    <row r="160" spans="2:3" ht="30" customHeight="1" x14ac:dyDescent="0.25">
      <c r="B160" s="7">
        <v>2955</v>
      </c>
      <c r="C160" s="8" t="s">
        <v>58</v>
      </c>
    </row>
    <row r="161" spans="2:3" ht="30" customHeight="1" x14ac:dyDescent="0.25">
      <c r="B161" s="7">
        <v>2956</v>
      </c>
      <c r="C161" s="8" t="s">
        <v>59</v>
      </c>
    </row>
    <row r="162" spans="2:3" ht="30" customHeight="1" x14ac:dyDescent="0.25">
      <c r="B162" s="7">
        <v>2957</v>
      </c>
      <c r="C162" s="8" t="s">
        <v>60</v>
      </c>
    </row>
    <row r="163" spans="2:3" ht="30" customHeight="1" x14ac:dyDescent="0.25">
      <c r="B163" s="7">
        <v>2958</v>
      </c>
      <c r="C163" s="8" t="s">
        <v>132</v>
      </c>
    </row>
    <row r="164" spans="2:3" ht="30" customHeight="1" x14ac:dyDescent="0.25">
      <c r="B164" s="7">
        <v>2959</v>
      </c>
      <c r="C164" s="8" t="s">
        <v>133</v>
      </c>
    </row>
    <row r="165" spans="2:3" ht="30" customHeight="1" x14ac:dyDescent="0.25">
      <c r="B165" s="7">
        <v>2982</v>
      </c>
      <c r="C165" s="8" t="s">
        <v>72</v>
      </c>
    </row>
    <row r="166" spans="2:3" ht="30" customHeight="1" x14ac:dyDescent="0.25">
      <c r="B166" s="7">
        <v>2999</v>
      </c>
      <c r="C166" s="8" t="s">
        <v>134</v>
      </c>
    </row>
    <row r="167" spans="2:3" ht="30" customHeight="1" x14ac:dyDescent="0.25">
      <c r="B167" s="7">
        <v>3000</v>
      </c>
      <c r="C167" s="8" t="s">
        <v>470</v>
      </c>
    </row>
    <row r="168" spans="2:3" ht="30" customHeight="1" x14ac:dyDescent="0.25">
      <c r="B168" s="7">
        <v>3090</v>
      </c>
      <c r="C168" s="8" t="s">
        <v>135</v>
      </c>
    </row>
    <row r="169" spans="2:3" ht="30" customHeight="1" x14ac:dyDescent="0.25">
      <c r="B169" s="7">
        <v>3101</v>
      </c>
      <c r="C169" s="8" t="s">
        <v>136</v>
      </c>
    </row>
    <row r="170" spans="2:3" ht="30" customHeight="1" x14ac:dyDescent="0.25">
      <c r="B170" s="7">
        <v>3110</v>
      </c>
      <c r="C170" s="8" t="s">
        <v>137</v>
      </c>
    </row>
    <row r="171" spans="2:3" ht="30" customHeight="1" x14ac:dyDescent="0.25">
      <c r="B171" s="7">
        <v>3131</v>
      </c>
      <c r="C171" s="8" t="s">
        <v>138</v>
      </c>
    </row>
    <row r="172" spans="2:3" ht="30" customHeight="1" x14ac:dyDescent="0.25">
      <c r="B172" s="7">
        <v>3132</v>
      </c>
      <c r="C172" s="8" t="s">
        <v>139</v>
      </c>
    </row>
    <row r="173" spans="2:3" ht="30" customHeight="1" x14ac:dyDescent="0.25">
      <c r="B173" s="7">
        <v>3133</v>
      </c>
      <c r="C173" s="8" t="s">
        <v>140</v>
      </c>
    </row>
    <row r="174" spans="2:3" ht="30" customHeight="1" x14ac:dyDescent="0.25">
      <c r="B174" s="7">
        <v>3136</v>
      </c>
      <c r="C174" s="8" t="s">
        <v>141</v>
      </c>
    </row>
    <row r="175" spans="2:3" ht="30" customHeight="1" x14ac:dyDescent="0.25">
      <c r="B175" s="7">
        <v>3138</v>
      </c>
      <c r="C175" s="8" t="s">
        <v>142</v>
      </c>
    </row>
    <row r="176" spans="2:3" ht="30" customHeight="1" x14ac:dyDescent="0.25">
      <c r="B176" s="7">
        <v>3140</v>
      </c>
      <c r="C176" s="8" t="s">
        <v>143</v>
      </c>
    </row>
    <row r="177" spans="2:3" ht="30" customHeight="1" x14ac:dyDescent="0.25">
      <c r="B177" s="7">
        <v>3141</v>
      </c>
      <c r="C177" s="8" t="s">
        <v>144</v>
      </c>
    </row>
    <row r="178" spans="2:3" ht="30" customHeight="1" x14ac:dyDescent="0.25">
      <c r="B178" s="7">
        <v>3142</v>
      </c>
      <c r="C178" s="8" t="s">
        <v>145</v>
      </c>
    </row>
    <row r="179" spans="2:3" ht="30" customHeight="1" x14ac:dyDescent="0.25">
      <c r="B179" s="7">
        <v>3143</v>
      </c>
      <c r="C179" s="8" t="s">
        <v>146</v>
      </c>
    </row>
    <row r="180" spans="2:3" ht="30" customHeight="1" x14ac:dyDescent="0.25">
      <c r="B180" s="7">
        <v>3144</v>
      </c>
      <c r="C180" s="8" t="s">
        <v>59</v>
      </c>
    </row>
    <row r="181" spans="2:3" ht="30" customHeight="1" x14ac:dyDescent="0.25">
      <c r="B181" s="7">
        <v>3145</v>
      </c>
      <c r="C181" s="8" t="s">
        <v>147</v>
      </c>
    </row>
    <row r="182" spans="2:3" ht="30" customHeight="1" x14ac:dyDescent="0.25">
      <c r="B182" s="7">
        <v>3146</v>
      </c>
      <c r="C182" s="8" t="s">
        <v>148</v>
      </c>
    </row>
    <row r="183" spans="2:3" ht="30" customHeight="1" x14ac:dyDescent="0.25">
      <c r="B183" s="7">
        <v>3147</v>
      </c>
      <c r="C183" s="8" t="s">
        <v>149</v>
      </c>
    </row>
    <row r="184" spans="2:3" ht="30" customHeight="1" x14ac:dyDescent="0.25">
      <c r="B184" s="7">
        <v>3148</v>
      </c>
      <c r="C184" s="8" t="s">
        <v>150</v>
      </c>
    </row>
    <row r="185" spans="2:3" ht="30" customHeight="1" x14ac:dyDescent="0.25">
      <c r="B185" s="7">
        <v>3149</v>
      </c>
      <c r="C185" s="8" t="s">
        <v>151</v>
      </c>
    </row>
    <row r="186" spans="2:3" ht="30" customHeight="1" x14ac:dyDescent="0.25">
      <c r="B186" s="7">
        <v>3150</v>
      </c>
      <c r="C186" s="8" t="s">
        <v>152</v>
      </c>
    </row>
    <row r="187" spans="2:3" ht="30" customHeight="1" x14ac:dyDescent="0.25">
      <c r="B187" s="7">
        <v>3151</v>
      </c>
      <c r="C187" s="8" t="s">
        <v>153</v>
      </c>
    </row>
    <row r="188" spans="2:3" ht="30" customHeight="1" x14ac:dyDescent="0.25">
      <c r="B188" s="7">
        <v>3161</v>
      </c>
      <c r="C188" s="8" t="s">
        <v>154</v>
      </c>
    </row>
    <row r="189" spans="2:3" ht="30" customHeight="1" x14ac:dyDescent="0.25">
      <c r="B189" s="7">
        <v>3162</v>
      </c>
      <c r="C189" s="8" t="s">
        <v>155</v>
      </c>
    </row>
    <row r="190" spans="2:3" ht="30" customHeight="1" x14ac:dyDescent="0.25">
      <c r="B190" s="7">
        <v>3163</v>
      </c>
      <c r="C190" s="8" t="s">
        <v>156</v>
      </c>
    </row>
    <row r="191" spans="2:3" ht="30" customHeight="1" x14ac:dyDescent="0.25">
      <c r="B191" s="7">
        <v>3164</v>
      </c>
      <c r="C191" s="8" t="s">
        <v>157</v>
      </c>
    </row>
    <row r="192" spans="2:3" ht="30" customHeight="1" x14ac:dyDescent="0.25">
      <c r="B192" s="7">
        <v>3171</v>
      </c>
      <c r="C192" s="8" t="s">
        <v>158</v>
      </c>
    </row>
    <row r="193" spans="2:3" ht="30" customHeight="1" x14ac:dyDescent="0.25">
      <c r="B193" s="7">
        <v>3172</v>
      </c>
      <c r="C193" s="8" t="s">
        <v>159</v>
      </c>
    </row>
    <row r="194" spans="2:3" ht="30" customHeight="1" x14ac:dyDescent="0.25">
      <c r="B194" s="7">
        <v>3190</v>
      </c>
      <c r="C194" s="8" t="s">
        <v>160</v>
      </c>
    </row>
    <row r="195" spans="2:3" ht="30" customHeight="1" x14ac:dyDescent="0.25">
      <c r="B195" s="7">
        <v>3510</v>
      </c>
      <c r="C195" s="8" t="s">
        <v>5</v>
      </c>
    </row>
    <row r="196" spans="2:3" ht="30" customHeight="1" x14ac:dyDescent="0.25">
      <c r="B196" s="7">
        <v>3521</v>
      </c>
      <c r="C196" s="8" t="s">
        <v>51</v>
      </c>
    </row>
    <row r="197" spans="2:3" ht="30" customHeight="1" x14ac:dyDescent="0.25">
      <c r="B197" s="7">
        <v>3522</v>
      </c>
      <c r="C197" s="8" t="s">
        <v>51</v>
      </c>
    </row>
    <row r="198" spans="2:3" ht="30" customHeight="1" x14ac:dyDescent="0.25">
      <c r="B198" s="7">
        <v>3610</v>
      </c>
      <c r="C198" s="8" t="s">
        <v>161</v>
      </c>
    </row>
    <row r="199" spans="2:3" ht="30" customHeight="1" x14ac:dyDescent="0.25">
      <c r="B199" s="7">
        <v>3620</v>
      </c>
      <c r="C199" s="8" t="s">
        <v>162</v>
      </c>
    </row>
    <row r="200" spans="2:3" ht="30" customHeight="1" x14ac:dyDescent="0.25">
      <c r="B200" s="7">
        <v>3701</v>
      </c>
      <c r="C200" s="8" t="s">
        <v>163</v>
      </c>
    </row>
    <row r="201" spans="2:3" ht="30" customHeight="1" x14ac:dyDescent="0.25">
      <c r="B201" s="7">
        <v>3702</v>
      </c>
      <c r="C201" s="8" t="s">
        <v>164</v>
      </c>
    </row>
    <row r="202" spans="2:3" ht="30" customHeight="1" x14ac:dyDescent="0.25">
      <c r="B202" s="7">
        <v>3703</v>
      </c>
      <c r="C202" s="8" t="s">
        <v>165</v>
      </c>
    </row>
    <row r="203" spans="2:3" ht="30" customHeight="1" x14ac:dyDescent="0.25">
      <c r="B203" s="7">
        <v>3704</v>
      </c>
      <c r="C203" s="8" t="s">
        <v>166</v>
      </c>
    </row>
    <row r="204" spans="2:3" ht="30" customHeight="1" x14ac:dyDescent="0.25">
      <c r="B204" s="7">
        <v>3705</v>
      </c>
      <c r="C204" s="8" t="s">
        <v>60</v>
      </c>
    </row>
    <row r="205" spans="2:3" ht="30" customHeight="1" x14ac:dyDescent="0.25">
      <c r="B205" s="7">
        <v>3706</v>
      </c>
      <c r="C205" s="8" t="s">
        <v>18</v>
      </c>
    </row>
    <row r="206" spans="2:3" ht="30" customHeight="1" x14ac:dyDescent="0.25">
      <c r="B206" s="7">
        <v>3707</v>
      </c>
      <c r="C206" s="8" t="s">
        <v>167</v>
      </c>
    </row>
    <row r="207" spans="2:3" ht="30" customHeight="1" x14ac:dyDescent="0.25">
      <c r="B207" s="7">
        <v>3708</v>
      </c>
      <c r="C207" s="8" t="s">
        <v>115</v>
      </c>
    </row>
    <row r="208" spans="2:3" ht="30" customHeight="1" x14ac:dyDescent="0.25">
      <c r="B208" s="7">
        <v>3709</v>
      </c>
      <c r="C208" s="8" t="s">
        <v>168</v>
      </c>
    </row>
    <row r="209" spans="2:3" ht="30" customHeight="1" x14ac:dyDescent="0.25">
      <c r="B209" s="7">
        <v>3710</v>
      </c>
      <c r="C209" s="8" t="s">
        <v>169</v>
      </c>
    </row>
    <row r="210" spans="2:3" ht="30" customHeight="1" x14ac:dyDescent="0.25">
      <c r="B210" s="7">
        <v>3711</v>
      </c>
      <c r="C210" s="8" t="s">
        <v>170</v>
      </c>
    </row>
    <row r="211" spans="2:3" ht="30" customHeight="1" x14ac:dyDescent="0.25">
      <c r="B211" s="7">
        <v>3730</v>
      </c>
      <c r="C211" s="8" t="s">
        <v>171</v>
      </c>
    </row>
    <row r="212" spans="2:3" ht="30" customHeight="1" x14ac:dyDescent="0.25">
      <c r="B212" s="7">
        <v>3740</v>
      </c>
      <c r="C212" s="8" t="s">
        <v>51</v>
      </c>
    </row>
    <row r="213" spans="2:3" ht="30" customHeight="1" x14ac:dyDescent="0.25">
      <c r="B213" s="7">
        <v>3810</v>
      </c>
      <c r="C213" s="8" t="s">
        <v>172</v>
      </c>
    </row>
    <row r="214" spans="2:3" ht="30" customHeight="1" x14ac:dyDescent="0.25">
      <c r="B214" s="7">
        <v>3820</v>
      </c>
      <c r="C214" s="8" t="s">
        <v>173</v>
      </c>
    </row>
    <row r="215" spans="2:3" ht="30" customHeight="1" x14ac:dyDescent="0.25">
      <c r="B215" s="7">
        <v>3830</v>
      </c>
      <c r="C215" s="8" t="s">
        <v>174</v>
      </c>
    </row>
    <row r="216" spans="2:3" ht="30" customHeight="1" x14ac:dyDescent="0.25">
      <c r="B216" s="7">
        <v>3831</v>
      </c>
      <c r="C216" s="8" t="s">
        <v>175</v>
      </c>
    </row>
    <row r="217" spans="2:3" ht="30" customHeight="1" x14ac:dyDescent="0.25">
      <c r="B217" s="7">
        <v>3840</v>
      </c>
      <c r="C217" s="8" t="s">
        <v>176</v>
      </c>
    </row>
    <row r="218" spans="2:3" ht="30" customHeight="1" x14ac:dyDescent="0.25">
      <c r="B218" s="7">
        <v>3850</v>
      </c>
      <c r="C218" s="8" t="s">
        <v>129</v>
      </c>
    </row>
    <row r="219" spans="2:3" ht="30" customHeight="1" x14ac:dyDescent="0.25">
      <c r="B219" s="7">
        <v>3890</v>
      </c>
      <c r="C219" s="8" t="s">
        <v>177</v>
      </c>
    </row>
    <row r="220" spans="2:3" ht="30" customHeight="1" x14ac:dyDescent="0.25">
      <c r="B220" s="7">
        <v>3910</v>
      </c>
      <c r="C220" s="8" t="s">
        <v>52</v>
      </c>
    </row>
    <row r="221" spans="2:3" ht="30" customHeight="1" x14ac:dyDescent="0.25">
      <c r="B221" s="7">
        <v>3920</v>
      </c>
      <c r="C221" s="8" t="s">
        <v>178</v>
      </c>
    </row>
    <row r="222" spans="2:3" ht="30" customHeight="1" x14ac:dyDescent="0.25">
      <c r="B222" s="7">
        <v>3950</v>
      </c>
      <c r="C222" s="8" t="s">
        <v>3</v>
      </c>
    </row>
    <row r="223" spans="2:3" ht="30" customHeight="1" x14ac:dyDescent="0.25">
      <c r="B223" s="7">
        <v>3951</v>
      </c>
      <c r="C223" s="8" t="s">
        <v>54</v>
      </c>
    </row>
    <row r="224" spans="2:3" ht="30" customHeight="1" x14ac:dyDescent="0.25">
      <c r="B224" s="7">
        <v>3952</v>
      </c>
      <c r="C224" s="8" t="s">
        <v>179</v>
      </c>
    </row>
    <row r="225" spans="2:3" ht="30" customHeight="1" x14ac:dyDescent="0.25">
      <c r="B225" s="7">
        <v>3953</v>
      </c>
      <c r="C225" s="8" t="s">
        <v>56</v>
      </c>
    </row>
    <row r="226" spans="2:3" ht="30" customHeight="1" x14ac:dyDescent="0.25">
      <c r="B226" s="7">
        <v>3954</v>
      </c>
      <c r="C226" s="8" t="s">
        <v>57</v>
      </c>
    </row>
    <row r="227" spans="2:3" ht="30" customHeight="1" x14ac:dyDescent="0.25">
      <c r="B227" s="7">
        <v>3955</v>
      </c>
      <c r="C227" s="8" t="s">
        <v>180</v>
      </c>
    </row>
    <row r="228" spans="2:3" ht="30" customHeight="1" x14ac:dyDescent="0.25">
      <c r="B228" s="7">
        <v>3956</v>
      </c>
      <c r="C228" s="8" t="s">
        <v>59</v>
      </c>
    </row>
    <row r="229" spans="2:3" ht="30" customHeight="1" x14ac:dyDescent="0.25">
      <c r="B229" s="7">
        <v>3957</v>
      </c>
      <c r="C229" s="8" t="s">
        <v>60</v>
      </c>
    </row>
    <row r="230" spans="2:3" ht="30" customHeight="1" x14ac:dyDescent="0.25">
      <c r="B230" s="7">
        <v>3960</v>
      </c>
      <c r="C230" s="8" t="s">
        <v>181</v>
      </c>
    </row>
    <row r="231" spans="2:3" ht="30" customHeight="1" x14ac:dyDescent="0.25">
      <c r="B231" s="7">
        <v>3961</v>
      </c>
      <c r="C231" s="8" t="s">
        <v>182</v>
      </c>
    </row>
    <row r="232" spans="2:3" ht="30" customHeight="1" x14ac:dyDescent="0.25">
      <c r="B232" s="7">
        <v>3962</v>
      </c>
      <c r="C232" s="8" t="s">
        <v>61</v>
      </c>
    </row>
    <row r="233" spans="2:3" ht="30" customHeight="1" x14ac:dyDescent="0.25">
      <c r="B233" s="7">
        <v>3963</v>
      </c>
      <c r="C233" s="8" t="s">
        <v>62</v>
      </c>
    </row>
    <row r="234" spans="2:3" ht="30" customHeight="1" x14ac:dyDescent="0.25">
      <c r="B234" s="7">
        <v>3967</v>
      </c>
      <c r="C234" s="8" t="s">
        <v>183</v>
      </c>
    </row>
    <row r="235" spans="2:3" ht="30" customHeight="1" x14ac:dyDescent="0.25">
      <c r="B235" s="7">
        <v>3968</v>
      </c>
      <c r="C235" s="8" t="s">
        <v>184</v>
      </c>
    </row>
    <row r="236" spans="2:3" ht="30" customHeight="1" x14ac:dyDescent="0.25">
      <c r="B236" s="7">
        <v>3969</v>
      </c>
      <c r="C236" s="8" t="s">
        <v>185</v>
      </c>
    </row>
    <row r="237" spans="2:3" ht="30" customHeight="1" x14ac:dyDescent="0.25">
      <c r="B237" s="7">
        <v>3970</v>
      </c>
      <c r="C237" s="8" t="s">
        <v>186</v>
      </c>
    </row>
    <row r="238" spans="2:3" ht="30" customHeight="1" x14ac:dyDescent="0.25">
      <c r="B238" s="7">
        <v>3971</v>
      </c>
      <c r="C238" s="8" t="s">
        <v>187</v>
      </c>
    </row>
    <row r="239" spans="2:3" ht="30" customHeight="1" x14ac:dyDescent="0.25">
      <c r="B239" s="7">
        <v>3972</v>
      </c>
      <c r="C239" s="8" t="s">
        <v>188</v>
      </c>
    </row>
    <row r="240" spans="2:3" ht="30" customHeight="1" x14ac:dyDescent="0.25">
      <c r="B240" s="7">
        <v>3973</v>
      </c>
      <c r="C240" s="8" t="s">
        <v>189</v>
      </c>
    </row>
    <row r="241" spans="2:3" ht="30" customHeight="1" x14ac:dyDescent="0.25">
      <c r="B241" s="7">
        <v>3974</v>
      </c>
      <c r="C241" s="8" t="s">
        <v>190</v>
      </c>
    </row>
    <row r="242" spans="2:3" ht="30" customHeight="1" x14ac:dyDescent="0.25">
      <c r="B242" s="7">
        <v>3975</v>
      </c>
      <c r="C242" s="8" t="s">
        <v>191</v>
      </c>
    </row>
    <row r="243" spans="2:3" ht="30" customHeight="1" x14ac:dyDescent="0.25">
      <c r="B243" s="7">
        <v>3976</v>
      </c>
      <c r="C243" s="8" t="s">
        <v>192</v>
      </c>
    </row>
    <row r="244" spans="2:3" ht="30" customHeight="1" x14ac:dyDescent="0.25">
      <c r="B244" s="7">
        <v>3977</v>
      </c>
      <c r="C244" s="8" t="s">
        <v>193</v>
      </c>
    </row>
    <row r="245" spans="2:3" ht="30" customHeight="1" x14ac:dyDescent="0.25">
      <c r="B245" s="7">
        <v>3989</v>
      </c>
      <c r="C245" s="8" t="s">
        <v>194</v>
      </c>
    </row>
    <row r="246" spans="2:3" ht="30" customHeight="1" x14ac:dyDescent="0.25">
      <c r="B246" s="7">
        <v>3990</v>
      </c>
      <c r="C246" s="8" t="s">
        <v>195</v>
      </c>
    </row>
    <row r="247" spans="2:3" ht="30" customHeight="1" x14ac:dyDescent="0.25">
      <c r="B247" s="7">
        <v>3991</v>
      </c>
      <c r="C247" s="8" t="s">
        <v>196</v>
      </c>
    </row>
    <row r="248" spans="2:3" ht="30" customHeight="1" x14ac:dyDescent="0.25">
      <c r="B248" s="7">
        <v>3992</v>
      </c>
      <c r="C248" s="8" t="s">
        <v>197</v>
      </c>
    </row>
    <row r="249" spans="2:3" ht="30" customHeight="1" x14ac:dyDescent="0.25">
      <c r="B249" s="7">
        <v>3994</v>
      </c>
      <c r="C249" s="8" t="s">
        <v>198</v>
      </c>
    </row>
    <row r="250" spans="2:3" ht="30" customHeight="1" x14ac:dyDescent="0.25">
      <c r="B250" s="7">
        <v>3995</v>
      </c>
      <c r="C250" s="8" t="s">
        <v>199</v>
      </c>
    </row>
    <row r="251" spans="2:3" ht="30" customHeight="1" x14ac:dyDescent="0.25">
      <c r="B251" s="7">
        <v>3996</v>
      </c>
      <c r="C251" s="8" t="s">
        <v>200</v>
      </c>
    </row>
    <row r="252" spans="2:3" ht="30" customHeight="1" x14ac:dyDescent="0.25">
      <c r="B252" s="7">
        <v>4000</v>
      </c>
      <c r="C252" s="8" t="s">
        <v>471</v>
      </c>
    </row>
    <row r="253" spans="2:3" ht="30" customHeight="1" x14ac:dyDescent="0.25">
      <c r="B253" s="7">
        <v>4101</v>
      </c>
      <c r="C253" s="8" t="s">
        <v>201</v>
      </c>
    </row>
    <row r="254" spans="2:3" ht="30" customHeight="1" x14ac:dyDescent="0.25">
      <c r="B254" s="7">
        <v>4110</v>
      </c>
      <c r="C254" s="8" t="s">
        <v>202</v>
      </c>
    </row>
    <row r="255" spans="2:3" ht="30" customHeight="1" x14ac:dyDescent="0.25">
      <c r="B255" s="7">
        <v>4111</v>
      </c>
      <c r="C255" s="8" t="s">
        <v>51</v>
      </c>
    </row>
    <row r="256" spans="2:3" ht="30" customHeight="1" x14ac:dyDescent="0.25">
      <c r="B256" s="7">
        <v>4120</v>
      </c>
      <c r="C256" s="8" t="s">
        <v>203</v>
      </c>
    </row>
    <row r="257" spans="2:3" ht="30" customHeight="1" x14ac:dyDescent="0.25">
      <c r="B257" s="7">
        <v>4121</v>
      </c>
      <c r="C257" s="8" t="s">
        <v>204</v>
      </c>
    </row>
    <row r="258" spans="2:3" ht="30" customHeight="1" x14ac:dyDescent="0.25">
      <c r="B258" s="7">
        <v>4125</v>
      </c>
      <c r="C258" s="8" t="s">
        <v>205</v>
      </c>
    </row>
    <row r="259" spans="2:3" ht="30" customHeight="1" x14ac:dyDescent="0.25">
      <c r="B259" s="7">
        <v>4122</v>
      </c>
      <c r="C259" s="8" t="s">
        <v>206</v>
      </c>
    </row>
    <row r="260" spans="2:3" ht="30" customHeight="1" x14ac:dyDescent="0.25">
      <c r="B260" s="7">
        <v>4123</v>
      </c>
      <c r="C260" s="8" t="s">
        <v>207</v>
      </c>
    </row>
    <row r="261" spans="2:3" ht="30" customHeight="1" x14ac:dyDescent="0.25">
      <c r="B261" s="7">
        <v>4124</v>
      </c>
      <c r="C261" s="8" t="s">
        <v>51</v>
      </c>
    </row>
    <row r="262" spans="2:3" ht="30" customHeight="1" x14ac:dyDescent="0.25">
      <c r="B262" s="7">
        <v>4126</v>
      </c>
      <c r="C262" s="8" t="s">
        <v>51</v>
      </c>
    </row>
    <row r="263" spans="2:3" ht="30" customHeight="1" x14ac:dyDescent="0.25">
      <c r="B263" s="7">
        <v>4127</v>
      </c>
      <c r="C263" s="8" t="s">
        <v>19</v>
      </c>
    </row>
    <row r="264" spans="2:3" ht="30" customHeight="1" x14ac:dyDescent="0.25">
      <c r="B264" s="7">
        <v>4128</v>
      </c>
      <c r="C264" s="8" t="s">
        <v>19</v>
      </c>
    </row>
    <row r="265" spans="2:3" ht="30" customHeight="1" x14ac:dyDescent="0.25">
      <c r="B265" s="7">
        <v>4129</v>
      </c>
      <c r="C265" s="8" t="s">
        <v>155</v>
      </c>
    </row>
    <row r="266" spans="2:3" ht="30" customHeight="1" x14ac:dyDescent="0.25">
      <c r="B266" s="7">
        <v>4130</v>
      </c>
      <c r="C266" s="8" t="s">
        <v>208</v>
      </c>
    </row>
    <row r="267" spans="2:3" ht="30" customHeight="1" x14ac:dyDescent="0.25">
      <c r="B267" s="7">
        <v>4131</v>
      </c>
      <c r="C267" s="8" t="s">
        <v>19</v>
      </c>
    </row>
    <row r="268" spans="2:3" ht="30" customHeight="1" x14ac:dyDescent="0.25">
      <c r="B268" s="7">
        <v>4132</v>
      </c>
      <c r="C268" s="8" t="s">
        <v>19</v>
      </c>
    </row>
    <row r="269" spans="2:3" ht="30" customHeight="1" x14ac:dyDescent="0.25">
      <c r="B269" s="7">
        <v>4133</v>
      </c>
      <c r="C269" s="8" t="s">
        <v>209</v>
      </c>
    </row>
    <row r="270" spans="2:3" ht="30" customHeight="1" x14ac:dyDescent="0.25">
      <c r="B270" s="7">
        <v>4134</v>
      </c>
      <c r="C270" s="8" t="s">
        <v>51</v>
      </c>
    </row>
    <row r="271" spans="2:3" ht="30" customHeight="1" x14ac:dyDescent="0.25">
      <c r="B271" s="7">
        <v>4135</v>
      </c>
      <c r="C271" s="8" t="s">
        <v>51</v>
      </c>
    </row>
    <row r="272" spans="2:3" ht="30" customHeight="1" x14ac:dyDescent="0.25">
      <c r="B272" s="7">
        <v>4136</v>
      </c>
      <c r="C272" s="8" t="s">
        <v>210</v>
      </c>
    </row>
    <row r="273" spans="2:3" ht="30" customHeight="1" x14ac:dyDescent="0.25">
      <c r="B273" s="7">
        <v>4137</v>
      </c>
      <c r="C273" s="8" t="s">
        <v>19</v>
      </c>
    </row>
    <row r="274" spans="2:3" ht="30" customHeight="1" x14ac:dyDescent="0.25">
      <c r="B274" s="7">
        <v>4138</v>
      </c>
      <c r="C274" s="8" t="s">
        <v>207</v>
      </c>
    </row>
    <row r="275" spans="2:3" ht="30" customHeight="1" x14ac:dyDescent="0.25">
      <c r="B275" s="7">
        <v>4139</v>
      </c>
      <c r="C275" s="8" t="s">
        <v>211</v>
      </c>
    </row>
    <row r="276" spans="2:3" ht="30" customHeight="1" x14ac:dyDescent="0.25">
      <c r="B276" s="7">
        <v>4140</v>
      </c>
      <c r="C276" s="8" t="s">
        <v>19</v>
      </c>
    </row>
    <row r="277" spans="2:3" ht="30" customHeight="1" x14ac:dyDescent="0.25">
      <c r="B277" s="7">
        <v>4141</v>
      </c>
      <c r="C277" s="8" t="s">
        <v>19</v>
      </c>
    </row>
    <row r="278" spans="2:3" ht="30" customHeight="1" x14ac:dyDescent="0.25">
      <c r="B278" s="7">
        <v>4142</v>
      </c>
      <c r="C278" s="8" t="s">
        <v>212</v>
      </c>
    </row>
    <row r="279" spans="2:3" ht="30" customHeight="1" x14ac:dyDescent="0.25">
      <c r="B279" s="7">
        <v>4143</v>
      </c>
      <c r="C279" s="8" t="s">
        <v>51</v>
      </c>
    </row>
    <row r="280" spans="2:3" ht="30" customHeight="1" x14ac:dyDescent="0.25">
      <c r="B280" s="7">
        <v>4144</v>
      </c>
      <c r="C280" s="8" t="s">
        <v>213</v>
      </c>
    </row>
    <row r="281" spans="2:3" ht="30" customHeight="1" x14ac:dyDescent="0.25">
      <c r="B281" s="7">
        <v>4145</v>
      </c>
      <c r="C281" s="8" t="s">
        <v>206</v>
      </c>
    </row>
    <row r="282" spans="2:3" ht="30" customHeight="1" x14ac:dyDescent="0.25">
      <c r="B282" s="7">
        <v>4151</v>
      </c>
      <c r="C282" s="8" t="s">
        <v>214</v>
      </c>
    </row>
    <row r="283" spans="2:3" ht="30" customHeight="1" x14ac:dyDescent="0.25">
      <c r="B283" s="7">
        <v>4152</v>
      </c>
      <c r="C283" s="8" t="s">
        <v>215</v>
      </c>
    </row>
    <row r="284" spans="2:3" ht="30" customHeight="1" x14ac:dyDescent="0.25">
      <c r="B284" s="7">
        <v>4161</v>
      </c>
      <c r="C284" s="8" t="s">
        <v>216</v>
      </c>
    </row>
    <row r="285" spans="2:3" ht="30" customHeight="1" x14ac:dyDescent="0.25">
      <c r="B285" s="7">
        <v>4162</v>
      </c>
      <c r="C285" s="8" t="s">
        <v>51</v>
      </c>
    </row>
    <row r="286" spans="2:3" ht="30" customHeight="1" x14ac:dyDescent="0.25">
      <c r="B286" s="7">
        <v>4163</v>
      </c>
      <c r="C286" s="8" t="s">
        <v>51</v>
      </c>
    </row>
    <row r="287" spans="2:3" ht="30" customHeight="1" x14ac:dyDescent="0.25">
      <c r="B287" s="7">
        <v>4171</v>
      </c>
      <c r="C287" s="8" t="s">
        <v>217</v>
      </c>
    </row>
    <row r="288" spans="2:3" ht="30" customHeight="1" x14ac:dyDescent="0.25">
      <c r="B288" s="7">
        <v>4180</v>
      </c>
      <c r="C288" s="8" t="s">
        <v>218</v>
      </c>
    </row>
    <row r="289" spans="2:3" ht="30" customHeight="1" x14ac:dyDescent="0.25">
      <c r="B289" s="7">
        <v>4210</v>
      </c>
      <c r="C289" s="8" t="s">
        <v>219</v>
      </c>
    </row>
    <row r="290" spans="2:3" ht="30" customHeight="1" x14ac:dyDescent="0.25">
      <c r="B290" s="7">
        <v>4211</v>
      </c>
      <c r="C290" s="8" t="s">
        <v>220</v>
      </c>
    </row>
    <row r="291" spans="2:3" ht="30" customHeight="1" x14ac:dyDescent="0.25">
      <c r="B291" s="7">
        <v>4501</v>
      </c>
      <c r="C291" s="8" t="s">
        <v>5</v>
      </c>
    </row>
    <row r="292" spans="2:3" ht="30" customHeight="1" x14ac:dyDescent="0.25">
      <c r="B292" s="7">
        <v>4510</v>
      </c>
      <c r="C292" s="8" t="s">
        <v>51</v>
      </c>
    </row>
    <row r="293" spans="2:3" ht="30" customHeight="1" x14ac:dyDescent="0.25">
      <c r="B293" s="7">
        <v>4502</v>
      </c>
      <c r="C293" s="8" t="s">
        <v>51</v>
      </c>
    </row>
    <row r="294" spans="2:3" ht="30" customHeight="1" x14ac:dyDescent="0.25">
      <c r="B294" s="7">
        <v>4511</v>
      </c>
      <c r="C294" s="8" t="s">
        <v>51</v>
      </c>
    </row>
    <row r="295" spans="2:3" ht="30" customHeight="1" x14ac:dyDescent="0.25">
      <c r="B295" s="7">
        <v>4512</v>
      </c>
      <c r="C295" s="8" t="s">
        <v>51</v>
      </c>
    </row>
    <row r="296" spans="2:3" ht="30" customHeight="1" x14ac:dyDescent="0.25">
      <c r="B296" s="7">
        <v>4513</v>
      </c>
      <c r="C296" s="8" t="s">
        <v>51</v>
      </c>
    </row>
    <row r="297" spans="2:3" ht="30" customHeight="1" x14ac:dyDescent="0.25">
      <c r="B297" s="7">
        <v>4520</v>
      </c>
      <c r="C297" s="8" t="s">
        <v>6</v>
      </c>
    </row>
    <row r="298" spans="2:3" ht="30" customHeight="1" x14ac:dyDescent="0.25">
      <c r="B298" s="7">
        <v>4531</v>
      </c>
      <c r="C298" s="8" t="s">
        <v>7</v>
      </c>
    </row>
    <row r="299" spans="2:3" ht="30" customHeight="1" x14ac:dyDescent="0.25">
      <c r="B299" s="7">
        <v>4532</v>
      </c>
      <c r="C299" s="8" t="s">
        <v>51</v>
      </c>
    </row>
    <row r="300" spans="2:3" ht="30" customHeight="1" x14ac:dyDescent="0.25">
      <c r="B300" s="7">
        <v>4533</v>
      </c>
      <c r="C300" s="8" t="s">
        <v>51</v>
      </c>
    </row>
    <row r="301" spans="2:3" ht="30" customHeight="1" x14ac:dyDescent="0.25">
      <c r="B301" s="7">
        <v>4610</v>
      </c>
      <c r="C301" s="8" t="s">
        <v>221</v>
      </c>
    </row>
    <row r="302" spans="2:3" ht="30" customHeight="1" x14ac:dyDescent="0.25">
      <c r="B302" s="7">
        <v>4620</v>
      </c>
      <c r="C302" s="8" t="s">
        <v>222</v>
      </c>
    </row>
    <row r="303" spans="2:3" ht="30" customHeight="1" x14ac:dyDescent="0.25">
      <c r="B303" s="7">
        <v>4630</v>
      </c>
      <c r="C303" s="8" t="s">
        <v>223</v>
      </c>
    </row>
    <row r="304" spans="2:3" ht="30" customHeight="1" x14ac:dyDescent="0.25">
      <c r="B304" s="7">
        <v>4701</v>
      </c>
      <c r="C304" s="8" t="s">
        <v>19</v>
      </c>
    </row>
    <row r="305" spans="2:3" ht="30" customHeight="1" x14ac:dyDescent="0.25">
      <c r="B305" s="7">
        <v>4702</v>
      </c>
      <c r="C305" s="8" t="s">
        <v>166</v>
      </c>
    </row>
    <row r="306" spans="2:3" ht="30" customHeight="1" x14ac:dyDescent="0.25">
      <c r="B306" s="7">
        <v>4703</v>
      </c>
      <c r="C306" s="8" t="s">
        <v>224</v>
      </c>
    </row>
    <row r="307" spans="2:3" ht="30" customHeight="1" x14ac:dyDescent="0.25">
      <c r="B307" s="7">
        <v>4704</v>
      </c>
      <c r="C307" s="8" t="s">
        <v>60</v>
      </c>
    </row>
    <row r="308" spans="2:3" ht="30" customHeight="1" x14ac:dyDescent="0.25">
      <c r="B308" s="7">
        <v>4705</v>
      </c>
      <c r="C308" s="8" t="s">
        <v>164</v>
      </c>
    </row>
    <row r="309" spans="2:3" ht="30" customHeight="1" x14ac:dyDescent="0.25">
      <c r="B309" s="7">
        <v>4706</v>
      </c>
      <c r="C309" s="8" t="s">
        <v>225</v>
      </c>
    </row>
    <row r="310" spans="2:3" ht="30" customHeight="1" x14ac:dyDescent="0.25">
      <c r="B310" s="7">
        <v>4707</v>
      </c>
      <c r="C310" s="8" t="s">
        <v>19</v>
      </c>
    </row>
    <row r="311" spans="2:3" ht="30" customHeight="1" x14ac:dyDescent="0.25">
      <c r="B311" s="7">
        <v>4708</v>
      </c>
      <c r="C311" s="8" t="s">
        <v>51</v>
      </c>
    </row>
    <row r="312" spans="2:3" ht="30" customHeight="1" x14ac:dyDescent="0.25">
      <c r="B312" s="7">
        <v>4709</v>
      </c>
      <c r="C312" s="8" t="s">
        <v>19</v>
      </c>
    </row>
    <row r="313" spans="2:3" ht="30" customHeight="1" x14ac:dyDescent="0.25">
      <c r="B313" s="7">
        <v>4710</v>
      </c>
      <c r="C313" s="8" t="s">
        <v>226</v>
      </c>
    </row>
    <row r="314" spans="2:3" ht="30" customHeight="1" x14ac:dyDescent="0.25">
      <c r="B314" s="7">
        <v>4711</v>
      </c>
      <c r="C314" s="8" t="s">
        <v>93</v>
      </c>
    </row>
    <row r="315" spans="2:3" ht="30" customHeight="1" x14ac:dyDescent="0.25">
      <c r="B315" s="7">
        <v>4720</v>
      </c>
      <c r="C315" s="8" t="s">
        <v>19</v>
      </c>
    </row>
    <row r="316" spans="2:3" ht="30" customHeight="1" x14ac:dyDescent="0.25">
      <c r="B316" s="7">
        <v>4810</v>
      </c>
      <c r="C316" s="8" t="s">
        <v>126</v>
      </c>
    </row>
    <row r="317" spans="2:3" ht="30" customHeight="1" x14ac:dyDescent="0.25">
      <c r="B317" s="7">
        <v>4820</v>
      </c>
      <c r="C317" s="8" t="s">
        <v>227</v>
      </c>
    </row>
    <row r="318" spans="2:3" ht="30" customHeight="1" x14ac:dyDescent="0.25">
      <c r="B318" s="7">
        <v>4830</v>
      </c>
      <c r="C318" s="8" t="s">
        <v>129</v>
      </c>
    </row>
    <row r="319" spans="2:3" ht="30" customHeight="1" x14ac:dyDescent="0.25">
      <c r="B319" s="7">
        <v>4840</v>
      </c>
      <c r="C319" s="8" t="s">
        <v>228</v>
      </c>
    </row>
    <row r="320" spans="2:3" ht="30" customHeight="1" x14ac:dyDescent="0.25">
      <c r="B320" s="7">
        <v>4850</v>
      </c>
      <c r="C320" s="8" t="s">
        <v>173</v>
      </c>
    </row>
    <row r="321" spans="2:3" ht="30" customHeight="1" x14ac:dyDescent="0.25">
      <c r="B321" s="7">
        <v>4860</v>
      </c>
      <c r="C321" s="8" t="s">
        <v>229</v>
      </c>
    </row>
    <row r="322" spans="2:3" ht="30" customHeight="1" x14ac:dyDescent="0.25">
      <c r="B322" s="7">
        <v>4870</v>
      </c>
      <c r="C322" s="8" t="s">
        <v>51</v>
      </c>
    </row>
    <row r="323" spans="2:3" ht="30" customHeight="1" x14ac:dyDescent="0.25">
      <c r="B323" s="7">
        <v>4910</v>
      </c>
      <c r="C323" s="8" t="s">
        <v>52</v>
      </c>
    </row>
    <row r="324" spans="2:3" ht="30" customHeight="1" x14ac:dyDescent="0.25">
      <c r="B324" s="7">
        <v>5000</v>
      </c>
      <c r="C324" s="8" t="s">
        <v>230</v>
      </c>
    </row>
    <row r="325" spans="2:3" ht="30" customHeight="1" x14ac:dyDescent="0.25">
      <c r="B325" s="7">
        <v>5100</v>
      </c>
      <c r="C325" s="8" t="s">
        <v>231</v>
      </c>
    </row>
    <row r="326" spans="2:3" ht="30" customHeight="1" x14ac:dyDescent="0.25">
      <c r="B326" s="7">
        <v>5110</v>
      </c>
      <c r="C326" s="8" t="s">
        <v>232</v>
      </c>
    </row>
    <row r="327" spans="2:3" ht="30" customHeight="1" x14ac:dyDescent="0.25">
      <c r="B327" s="7">
        <v>5111</v>
      </c>
      <c r="C327" s="8" t="s">
        <v>233</v>
      </c>
    </row>
    <row r="328" spans="2:3" ht="30" customHeight="1" x14ac:dyDescent="0.25">
      <c r="B328" s="7">
        <v>5112</v>
      </c>
      <c r="C328" s="8" t="s">
        <v>234</v>
      </c>
    </row>
    <row r="329" spans="2:3" ht="30" customHeight="1" x14ac:dyDescent="0.25">
      <c r="B329" s="7">
        <v>5113</v>
      </c>
      <c r="C329" s="8" t="s">
        <v>235</v>
      </c>
    </row>
    <row r="330" spans="2:3" ht="30" customHeight="1" x14ac:dyDescent="0.25">
      <c r="B330" s="7">
        <v>5114</v>
      </c>
      <c r="C330" s="8" t="s">
        <v>236</v>
      </c>
    </row>
    <row r="331" spans="2:3" ht="30" customHeight="1" x14ac:dyDescent="0.25">
      <c r="B331" s="7">
        <v>5115</v>
      </c>
      <c r="C331" s="8" t="s">
        <v>237</v>
      </c>
    </row>
    <row r="332" spans="2:3" ht="30" customHeight="1" x14ac:dyDescent="0.25">
      <c r="B332" s="7">
        <v>5116</v>
      </c>
      <c r="C332" s="8" t="s">
        <v>238</v>
      </c>
    </row>
    <row r="333" spans="2:3" ht="30" customHeight="1" x14ac:dyDescent="0.25">
      <c r="B333" s="7">
        <v>5117</v>
      </c>
      <c r="C333" s="8" t="s">
        <v>239</v>
      </c>
    </row>
    <row r="334" spans="2:3" ht="30" customHeight="1" x14ac:dyDescent="0.25">
      <c r="B334" s="7">
        <v>5118</v>
      </c>
      <c r="C334" s="8" t="s">
        <v>240</v>
      </c>
    </row>
    <row r="335" spans="2:3" ht="30" customHeight="1" x14ac:dyDescent="0.25">
      <c r="B335" s="7">
        <v>5119</v>
      </c>
      <c r="C335" s="8" t="s">
        <v>241</v>
      </c>
    </row>
    <row r="336" spans="2:3" ht="30" customHeight="1" x14ac:dyDescent="0.25">
      <c r="B336" s="7">
        <v>5120</v>
      </c>
      <c r="C336" s="8" t="s">
        <v>242</v>
      </c>
    </row>
    <row r="337" spans="2:3" ht="30" customHeight="1" x14ac:dyDescent="0.25">
      <c r="B337" s="7">
        <v>5121</v>
      </c>
      <c r="C337" s="8" t="s">
        <v>243</v>
      </c>
    </row>
    <row r="338" spans="2:3" ht="30" customHeight="1" x14ac:dyDescent="0.25">
      <c r="B338" s="7">
        <v>5122</v>
      </c>
      <c r="C338" s="8" t="s">
        <v>244</v>
      </c>
    </row>
    <row r="339" spans="2:3" ht="30" customHeight="1" x14ac:dyDescent="0.25">
      <c r="B339" s="7">
        <v>5123</v>
      </c>
      <c r="C339" s="8" t="s">
        <v>245</v>
      </c>
    </row>
    <row r="340" spans="2:3" ht="30" customHeight="1" x14ac:dyDescent="0.25">
      <c r="B340" s="7">
        <v>5124</v>
      </c>
      <c r="C340" s="8" t="s">
        <v>51</v>
      </c>
    </row>
    <row r="341" spans="2:3" ht="30" customHeight="1" x14ac:dyDescent="0.25">
      <c r="B341" s="7">
        <v>5125</v>
      </c>
      <c r="C341" s="8" t="s">
        <v>246</v>
      </c>
    </row>
    <row r="342" spans="2:3" ht="30" customHeight="1" x14ac:dyDescent="0.25">
      <c r="B342" s="7">
        <v>5126</v>
      </c>
      <c r="C342" s="8" t="s">
        <v>51</v>
      </c>
    </row>
    <row r="343" spans="2:3" ht="30" customHeight="1" x14ac:dyDescent="0.25">
      <c r="B343" s="7">
        <v>5130</v>
      </c>
      <c r="C343" s="8" t="s">
        <v>247</v>
      </c>
    </row>
    <row r="344" spans="2:3" ht="30" customHeight="1" x14ac:dyDescent="0.25">
      <c r="B344" s="7">
        <v>5131</v>
      </c>
      <c r="C344" s="8" t="s">
        <v>248</v>
      </c>
    </row>
    <row r="345" spans="2:3" ht="30" customHeight="1" x14ac:dyDescent="0.25">
      <c r="B345" s="7">
        <v>5132</v>
      </c>
      <c r="C345" s="8" t="s">
        <v>249</v>
      </c>
    </row>
    <row r="346" spans="2:3" ht="30" customHeight="1" x14ac:dyDescent="0.25">
      <c r="B346" s="7">
        <v>5140</v>
      </c>
      <c r="C346" s="8" t="s">
        <v>250</v>
      </c>
    </row>
    <row r="347" spans="2:3" ht="30" customHeight="1" x14ac:dyDescent="0.25">
      <c r="B347" s="7">
        <v>5141</v>
      </c>
      <c r="C347" s="8" t="s">
        <v>251</v>
      </c>
    </row>
    <row r="348" spans="2:3" ht="30" customHeight="1" x14ac:dyDescent="0.25">
      <c r="B348" s="7">
        <v>5142</v>
      </c>
      <c r="C348" s="8" t="s">
        <v>51</v>
      </c>
    </row>
    <row r="349" spans="2:3" ht="30" customHeight="1" x14ac:dyDescent="0.25">
      <c r="B349" s="7">
        <v>5143</v>
      </c>
      <c r="C349" s="8" t="s">
        <v>252</v>
      </c>
    </row>
    <row r="350" spans="2:3" ht="30" customHeight="1" x14ac:dyDescent="0.25">
      <c r="B350" s="7">
        <v>5144</v>
      </c>
      <c r="C350" s="8" t="s">
        <v>253</v>
      </c>
    </row>
    <row r="351" spans="2:3" ht="30" customHeight="1" x14ac:dyDescent="0.25">
      <c r="B351" s="7">
        <v>5145</v>
      </c>
      <c r="C351" s="8" t="s">
        <v>254</v>
      </c>
    </row>
    <row r="352" spans="2:3" ht="30" customHeight="1" x14ac:dyDescent="0.25">
      <c r="B352" s="7">
        <v>5146</v>
      </c>
      <c r="C352" s="8" t="s">
        <v>255</v>
      </c>
    </row>
    <row r="353" spans="2:3" ht="30" customHeight="1" x14ac:dyDescent="0.25">
      <c r="B353" s="7">
        <v>5147</v>
      </c>
      <c r="C353" s="8" t="s">
        <v>256</v>
      </c>
    </row>
    <row r="354" spans="2:3" ht="30" customHeight="1" x14ac:dyDescent="0.25">
      <c r="B354" s="7">
        <v>5148</v>
      </c>
      <c r="C354" s="8" t="s">
        <v>257</v>
      </c>
    </row>
    <row r="355" spans="2:3" ht="30" customHeight="1" x14ac:dyDescent="0.25">
      <c r="B355" s="7">
        <v>5150</v>
      </c>
      <c r="C355" s="8" t="s">
        <v>219</v>
      </c>
    </row>
    <row r="356" spans="2:3" ht="30" customHeight="1" x14ac:dyDescent="0.25">
      <c r="B356" s="7">
        <v>5160</v>
      </c>
      <c r="C356" s="8" t="s">
        <v>51</v>
      </c>
    </row>
    <row r="357" spans="2:3" ht="30" customHeight="1" x14ac:dyDescent="0.25">
      <c r="B357" s="7">
        <v>5170</v>
      </c>
      <c r="C357" s="8" t="s">
        <v>258</v>
      </c>
    </row>
    <row r="358" spans="2:3" ht="30" customHeight="1" x14ac:dyDescent="0.25">
      <c r="B358" s="7">
        <v>5180</v>
      </c>
      <c r="C358" s="8" t="s">
        <v>259</v>
      </c>
    </row>
    <row r="359" spans="2:3" ht="30" customHeight="1" x14ac:dyDescent="0.25">
      <c r="B359" s="7">
        <v>5190</v>
      </c>
      <c r="C359" s="8" t="s">
        <v>260</v>
      </c>
    </row>
    <row r="360" spans="2:3" ht="30" customHeight="1" x14ac:dyDescent="0.25">
      <c r="B360" s="7">
        <v>5200</v>
      </c>
      <c r="C360" s="8" t="s">
        <v>261</v>
      </c>
    </row>
    <row r="361" spans="2:3" ht="30" customHeight="1" x14ac:dyDescent="0.25">
      <c r="B361" s="7">
        <v>5210</v>
      </c>
      <c r="C361" s="8" t="s">
        <v>262</v>
      </c>
    </row>
    <row r="362" spans="2:3" ht="30" customHeight="1" x14ac:dyDescent="0.25">
      <c r="B362" s="7">
        <v>5211</v>
      </c>
      <c r="C362" s="8" t="s">
        <v>263</v>
      </c>
    </row>
    <row r="363" spans="2:3" ht="30" customHeight="1" x14ac:dyDescent="0.25">
      <c r="B363" s="7">
        <v>5212</v>
      </c>
      <c r="C363" s="8" t="s">
        <v>264</v>
      </c>
    </row>
    <row r="364" spans="2:3" ht="30" customHeight="1" x14ac:dyDescent="0.25">
      <c r="B364" s="7">
        <v>5213</v>
      </c>
      <c r="C364" s="8" t="s">
        <v>265</v>
      </c>
    </row>
    <row r="365" spans="2:3" ht="30" customHeight="1" x14ac:dyDescent="0.25">
      <c r="B365" s="7">
        <v>5214</v>
      </c>
      <c r="C365" s="8" t="s">
        <v>266</v>
      </c>
    </row>
    <row r="366" spans="2:3" ht="30" customHeight="1" x14ac:dyDescent="0.25">
      <c r="B366" s="7">
        <v>5215</v>
      </c>
      <c r="C366" s="8" t="s">
        <v>267</v>
      </c>
    </row>
    <row r="367" spans="2:3" ht="30" customHeight="1" x14ac:dyDescent="0.25">
      <c r="B367" s="7">
        <v>5216</v>
      </c>
      <c r="C367" s="8" t="s">
        <v>268</v>
      </c>
    </row>
    <row r="368" spans="2:3" ht="30" customHeight="1" x14ac:dyDescent="0.25">
      <c r="B368" s="7">
        <v>5220</v>
      </c>
      <c r="C368" s="8" t="s">
        <v>269</v>
      </c>
    </row>
    <row r="369" spans="2:3" ht="30" customHeight="1" x14ac:dyDescent="0.25">
      <c r="B369" s="7">
        <v>5221</v>
      </c>
      <c r="C369" s="8" t="s">
        <v>270</v>
      </c>
    </row>
    <row r="370" spans="2:3" ht="30" customHeight="1" x14ac:dyDescent="0.25">
      <c r="B370" s="7">
        <v>5222</v>
      </c>
      <c r="C370" s="8" t="s">
        <v>271</v>
      </c>
    </row>
    <row r="371" spans="2:3" ht="30" customHeight="1" x14ac:dyDescent="0.25">
      <c r="B371" s="7">
        <v>5223</v>
      </c>
      <c r="C371" s="8" t="s">
        <v>272</v>
      </c>
    </row>
    <row r="372" spans="2:3" ht="30" customHeight="1" x14ac:dyDescent="0.25">
      <c r="B372" s="7">
        <v>5224</v>
      </c>
      <c r="C372" s="8" t="s">
        <v>273</v>
      </c>
    </row>
    <row r="373" spans="2:3" ht="30" customHeight="1" x14ac:dyDescent="0.25">
      <c r="B373" s="7">
        <v>5225</v>
      </c>
      <c r="C373" s="8" t="s">
        <v>274</v>
      </c>
    </row>
    <row r="374" spans="2:3" ht="30" customHeight="1" x14ac:dyDescent="0.25">
      <c r="B374" s="7">
        <v>5226</v>
      </c>
      <c r="C374" s="8" t="s">
        <v>275</v>
      </c>
    </row>
    <row r="375" spans="2:3" ht="30" customHeight="1" x14ac:dyDescent="0.25">
      <c r="B375" s="7">
        <v>5227</v>
      </c>
      <c r="C375" s="8" t="s">
        <v>276</v>
      </c>
    </row>
    <row r="376" spans="2:3" ht="30" customHeight="1" x14ac:dyDescent="0.25">
      <c r="B376" s="7">
        <v>5228</v>
      </c>
      <c r="C376" s="8" t="s">
        <v>51</v>
      </c>
    </row>
    <row r="377" spans="2:3" ht="30" customHeight="1" x14ac:dyDescent="0.25">
      <c r="B377" s="7">
        <v>5229</v>
      </c>
      <c r="C377" s="8" t="s">
        <v>277</v>
      </c>
    </row>
    <row r="378" spans="2:3" ht="30" customHeight="1" x14ac:dyDescent="0.25">
      <c r="B378" s="7">
        <v>5230</v>
      </c>
      <c r="C378" s="8" t="s">
        <v>51</v>
      </c>
    </row>
    <row r="379" spans="2:3" ht="30" customHeight="1" x14ac:dyDescent="0.25">
      <c r="B379" s="7">
        <v>5240</v>
      </c>
      <c r="C379" s="8" t="s">
        <v>278</v>
      </c>
    </row>
    <row r="380" spans="2:3" ht="30" customHeight="1" x14ac:dyDescent="0.25">
      <c r="B380" s="7">
        <v>5241</v>
      </c>
      <c r="C380" s="8" t="s">
        <v>279</v>
      </c>
    </row>
    <row r="381" spans="2:3" ht="30" customHeight="1" x14ac:dyDescent="0.25">
      <c r="B381" s="7">
        <v>5242</v>
      </c>
      <c r="C381" s="8" t="s">
        <v>280</v>
      </c>
    </row>
    <row r="382" spans="2:3" ht="30" customHeight="1" x14ac:dyDescent="0.25">
      <c r="B382" s="7">
        <v>5243</v>
      </c>
      <c r="C382" s="8" t="s">
        <v>281</v>
      </c>
    </row>
    <row r="383" spans="2:3" ht="30" customHeight="1" x14ac:dyDescent="0.25">
      <c r="B383" s="7">
        <v>5244</v>
      </c>
      <c r="C383" s="8" t="s">
        <v>282</v>
      </c>
    </row>
    <row r="384" spans="2:3" ht="30" customHeight="1" x14ac:dyDescent="0.25">
      <c r="B384" s="7">
        <v>5300</v>
      </c>
      <c r="C384" s="8" t="s">
        <v>283</v>
      </c>
    </row>
    <row r="385" spans="2:3" ht="30" customHeight="1" x14ac:dyDescent="0.25">
      <c r="B385" s="7">
        <v>5310</v>
      </c>
      <c r="C385" s="8" t="s">
        <v>284</v>
      </c>
    </row>
    <row r="386" spans="2:3" ht="30" customHeight="1" x14ac:dyDescent="0.25">
      <c r="B386" s="7">
        <v>5311</v>
      </c>
      <c r="C386" s="8" t="s">
        <v>285</v>
      </c>
    </row>
    <row r="387" spans="2:3" ht="30" customHeight="1" x14ac:dyDescent="0.25">
      <c r="B387" s="7">
        <v>5312</v>
      </c>
      <c r="C387" s="8" t="s">
        <v>286</v>
      </c>
    </row>
    <row r="388" spans="2:3" ht="30" customHeight="1" x14ac:dyDescent="0.25">
      <c r="B388" s="7">
        <v>5313</v>
      </c>
      <c r="C388" s="8" t="s">
        <v>51</v>
      </c>
    </row>
    <row r="389" spans="2:3" ht="30" customHeight="1" x14ac:dyDescent="0.25">
      <c r="B389" s="7">
        <v>5314</v>
      </c>
      <c r="C389" s="8" t="s">
        <v>287</v>
      </c>
    </row>
    <row r="390" spans="2:3" ht="30" customHeight="1" x14ac:dyDescent="0.25">
      <c r="B390" s="7">
        <v>5315</v>
      </c>
      <c r="C390" s="8" t="s">
        <v>288</v>
      </c>
    </row>
    <row r="391" spans="2:3" ht="30" customHeight="1" x14ac:dyDescent="0.25">
      <c r="B391" s="7">
        <v>5316</v>
      </c>
      <c r="C391" s="8" t="s">
        <v>289</v>
      </c>
    </row>
    <row r="392" spans="2:3" ht="30" customHeight="1" x14ac:dyDescent="0.25">
      <c r="B392" s="7">
        <v>5317</v>
      </c>
      <c r="C392" s="8" t="s">
        <v>290</v>
      </c>
    </row>
    <row r="393" spans="2:3" ht="30" customHeight="1" x14ac:dyDescent="0.25">
      <c r="B393" s="7">
        <v>5318</v>
      </c>
      <c r="C393" s="8" t="s">
        <v>291</v>
      </c>
    </row>
    <row r="394" spans="2:3" ht="30" customHeight="1" x14ac:dyDescent="0.25">
      <c r="B394" s="7">
        <v>5319</v>
      </c>
      <c r="C394" s="8" t="s">
        <v>292</v>
      </c>
    </row>
    <row r="395" spans="2:3" ht="30" customHeight="1" x14ac:dyDescent="0.25">
      <c r="B395" s="7">
        <v>5320</v>
      </c>
      <c r="C395" s="8" t="s">
        <v>293</v>
      </c>
    </row>
    <row r="396" spans="2:3" ht="30" customHeight="1" x14ac:dyDescent="0.25">
      <c r="B396" s="7">
        <v>5321</v>
      </c>
      <c r="C396" s="8" t="s">
        <v>294</v>
      </c>
    </row>
    <row r="397" spans="2:3" ht="30" customHeight="1" x14ac:dyDescent="0.25">
      <c r="B397" s="7">
        <v>5322</v>
      </c>
      <c r="C397" s="8" t="s">
        <v>295</v>
      </c>
    </row>
    <row r="398" spans="2:3" ht="30" customHeight="1" x14ac:dyDescent="0.25">
      <c r="B398" s="7">
        <v>5323</v>
      </c>
      <c r="C398" s="8" t="s">
        <v>51</v>
      </c>
    </row>
    <row r="399" spans="2:3" ht="30" customHeight="1" x14ac:dyDescent="0.25">
      <c r="B399" s="7">
        <v>5324</v>
      </c>
      <c r="C399" s="8" t="s">
        <v>296</v>
      </c>
    </row>
    <row r="400" spans="2:3" ht="30" customHeight="1" x14ac:dyDescent="0.25">
      <c r="B400" s="7">
        <v>5325</v>
      </c>
      <c r="C400" s="8" t="s">
        <v>297</v>
      </c>
    </row>
    <row r="401" spans="2:3" ht="30" customHeight="1" x14ac:dyDescent="0.25">
      <c r="B401" s="7">
        <v>5326</v>
      </c>
      <c r="C401" s="8" t="s">
        <v>51</v>
      </c>
    </row>
    <row r="402" spans="2:3" ht="30" customHeight="1" x14ac:dyDescent="0.25">
      <c r="B402" s="7">
        <v>5327</v>
      </c>
      <c r="C402" s="8" t="s">
        <v>298</v>
      </c>
    </row>
    <row r="403" spans="2:3" ht="30" customHeight="1" x14ac:dyDescent="0.25">
      <c r="B403" s="7">
        <v>5328</v>
      </c>
      <c r="C403" s="8" t="s">
        <v>299</v>
      </c>
    </row>
    <row r="404" spans="2:3" ht="30" customHeight="1" x14ac:dyDescent="0.25">
      <c r="B404" s="7">
        <v>5329</v>
      </c>
      <c r="C404" s="8" t="s">
        <v>300</v>
      </c>
    </row>
    <row r="405" spans="2:3" ht="30" customHeight="1" x14ac:dyDescent="0.25">
      <c r="B405" s="7" t="s">
        <v>301</v>
      </c>
      <c r="C405" s="8" t="s">
        <v>302</v>
      </c>
    </row>
    <row r="406" spans="2:3" ht="30" customHeight="1" x14ac:dyDescent="0.25">
      <c r="B406" s="7" t="s">
        <v>303</v>
      </c>
      <c r="C406" s="8" t="s">
        <v>304</v>
      </c>
    </row>
    <row r="407" spans="2:3" ht="30" customHeight="1" x14ac:dyDescent="0.25">
      <c r="B407" s="7" t="s">
        <v>305</v>
      </c>
      <c r="C407" s="8" t="s">
        <v>306</v>
      </c>
    </row>
    <row r="408" spans="2:3" ht="30" customHeight="1" x14ac:dyDescent="0.25">
      <c r="B408" s="7">
        <v>5330</v>
      </c>
      <c r="C408" s="8" t="s">
        <v>307</v>
      </c>
    </row>
    <row r="409" spans="2:3" ht="30" customHeight="1" x14ac:dyDescent="0.25">
      <c r="B409" s="7">
        <v>5331</v>
      </c>
      <c r="C409" s="8" t="s">
        <v>308</v>
      </c>
    </row>
    <row r="410" spans="2:3" ht="30" customHeight="1" x14ac:dyDescent="0.25">
      <c r="B410" s="7">
        <v>5332</v>
      </c>
      <c r="C410" s="8" t="s">
        <v>309</v>
      </c>
    </row>
    <row r="411" spans="2:3" ht="30" customHeight="1" x14ac:dyDescent="0.25">
      <c r="B411" s="7">
        <v>5333</v>
      </c>
      <c r="C411" s="8" t="s">
        <v>310</v>
      </c>
    </row>
    <row r="412" spans="2:3" ht="30" customHeight="1" x14ac:dyDescent="0.25">
      <c r="B412" s="7">
        <v>5334</v>
      </c>
      <c r="C412" s="8" t="s">
        <v>311</v>
      </c>
    </row>
    <row r="413" spans="2:3" ht="30" customHeight="1" x14ac:dyDescent="0.25">
      <c r="B413" s="7">
        <v>5335</v>
      </c>
      <c r="C413" s="8" t="s">
        <v>312</v>
      </c>
    </row>
    <row r="414" spans="2:3" ht="30" customHeight="1" x14ac:dyDescent="0.25">
      <c r="B414" s="7" t="s">
        <v>313</v>
      </c>
      <c r="C414" s="8" t="s">
        <v>314</v>
      </c>
    </row>
    <row r="415" spans="2:3" ht="30" customHeight="1" x14ac:dyDescent="0.25">
      <c r="B415" s="7" t="s">
        <v>315</v>
      </c>
      <c r="C415" s="8" t="s">
        <v>316</v>
      </c>
    </row>
    <row r="416" spans="2:3" ht="30" customHeight="1" x14ac:dyDescent="0.25">
      <c r="B416" s="7">
        <v>5336</v>
      </c>
      <c r="C416" s="8" t="s">
        <v>317</v>
      </c>
    </row>
    <row r="417" spans="2:3" ht="30" customHeight="1" x14ac:dyDescent="0.25">
      <c r="B417" s="7">
        <v>5337</v>
      </c>
      <c r="C417" s="8" t="s">
        <v>51</v>
      </c>
    </row>
    <row r="418" spans="2:3" ht="30" customHeight="1" x14ac:dyDescent="0.25">
      <c r="B418" s="7">
        <v>5338</v>
      </c>
      <c r="C418" s="8" t="s">
        <v>318</v>
      </c>
    </row>
    <row r="419" spans="2:3" ht="30" customHeight="1" x14ac:dyDescent="0.25">
      <c r="B419" s="7">
        <v>5339</v>
      </c>
      <c r="C419" s="8" t="s">
        <v>51</v>
      </c>
    </row>
    <row r="420" spans="2:3" ht="30" customHeight="1" x14ac:dyDescent="0.25">
      <c r="B420" s="7">
        <v>5350</v>
      </c>
      <c r="C420" s="8" t="s">
        <v>319</v>
      </c>
    </row>
    <row r="421" spans="2:3" ht="30" customHeight="1" x14ac:dyDescent="0.25">
      <c r="B421" s="7">
        <v>5351</v>
      </c>
      <c r="C421" s="8" t="s">
        <v>320</v>
      </c>
    </row>
    <row r="422" spans="2:3" ht="30" customHeight="1" x14ac:dyDescent="0.25">
      <c r="B422" s="7" t="s">
        <v>321</v>
      </c>
      <c r="C422" s="8" t="s">
        <v>322</v>
      </c>
    </row>
    <row r="423" spans="2:3" ht="30" customHeight="1" x14ac:dyDescent="0.25">
      <c r="B423" s="7">
        <v>5352</v>
      </c>
      <c r="C423" s="8" t="s">
        <v>323</v>
      </c>
    </row>
    <row r="424" spans="2:3" ht="30" customHeight="1" x14ac:dyDescent="0.25">
      <c r="B424" s="7" t="s">
        <v>324</v>
      </c>
      <c r="C424" s="8" t="s">
        <v>325</v>
      </c>
    </row>
    <row r="425" spans="2:3" ht="30" customHeight="1" x14ac:dyDescent="0.25">
      <c r="B425" s="7">
        <v>5353</v>
      </c>
      <c r="C425" s="8" t="s">
        <v>326</v>
      </c>
    </row>
    <row r="426" spans="2:3" ht="30" customHeight="1" x14ac:dyDescent="0.25">
      <c r="B426" s="7">
        <v>5354</v>
      </c>
      <c r="C426" s="8" t="s">
        <v>327</v>
      </c>
    </row>
    <row r="427" spans="2:3" ht="30" customHeight="1" x14ac:dyDescent="0.25">
      <c r="B427" s="7">
        <v>5360</v>
      </c>
      <c r="C427" s="8" t="s">
        <v>328</v>
      </c>
    </row>
    <row r="428" spans="2:3" ht="30" customHeight="1" x14ac:dyDescent="0.25">
      <c r="B428" s="7">
        <v>5361</v>
      </c>
      <c r="C428" s="8" t="s">
        <v>329</v>
      </c>
    </row>
    <row r="429" spans="2:3" ht="30" customHeight="1" x14ac:dyDescent="0.25">
      <c r="B429" s="7">
        <v>5362</v>
      </c>
      <c r="C429" s="8" t="s">
        <v>330</v>
      </c>
    </row>
    <row r="430" spans="2:3" ht="30" customHeight="1" x14ac:dyDescent="0.25">
      <c r="B430" s="7">
        <v>5370</v>
      </c>
      <c r="C430" s="8" t="s">
        <v>51</v>
      </c>
    </row>
    <row r="431" spans="2:3" ht="30" customHeight="1" x14ac:dyDescent="0.25">
      <c r="B431" s="7">
        <v>5380</v>
      </c>
      <c r="C431" s="8" t="s">
        <v>51</v>
      </c>
    </row>
    <row r="432" spans="2:3" ht="30" customHeight="1" x14ac:dyDescent="0.25">
      <c r="B432" s="7">
        <v>5390</v>
      </c>
      <c r="C432" s="8" t="s">
        <v>51</v>
      </c>
    </row>
    <row r="433" spans="2:3" ht="30" customHeight="1" x14ac:dyDescent="0.25">
      <c r="B433" s="7">
        <v>5400</v>
      </c>
      <c r="C433" s="8" t="s">
        <v>331</v>
      </c>
    </row>
    <row r="434" spans="2:3" ht="30" customHeight="1" x14ac:dyDescent="0.25">
      <c r="B434" s="7">
        <v>5410</v>
      </c>
      <c r="C434" s="8" t="s">
        <v>332</v>
      </c>
    </row>
    <row r="435" spans="2:3" ht="30" customHeight="1" x14ac:dyDescent="0.25">
      <c r="B435" s="7">
        <v>5411</v>
      </c>
      <c r="C435" s="8" t="s">
        <v>333</v>
      </c>
    </row>
    <row r="436" spans="2:3" ht="30" customHeight="1" x14ac:dyDescent="0.25">
      <c r="B436" s="7">
        <v>5412</v>
      </c>
      <c r="C436" s="8" t="s">
        <v>334</v>
      </c>
    </row>
    <row r="437" spans="2:3" ht="30" customHeight="1" x14ac:dyDescent="0.25">
      <c r="B437" s="7">
        <v>5413</v>
      </c>
      <c r="C437" s="8" t="s">
        <v>335</v>
      </c>
    </row>
    <row r="438" spans="2:3" ht="30" customHeight="1" x14ac:dyDescent="0.25">
      <c r="B438" s="7">
        <v>5414</v>
      </c>
      <c r="C438" s="8" t="s">
        <v>336</v>
      </c>
    </row>
    <row r="439" spans="2:3" ht="30" customHeight="1" x14ac:dyDescent="0.25">
      <c r="B439" s="7">
        <v>5415</v>
      </c>
      <c r="C439" s="8" t="s">
        <v>337</v>
      </c>
    </row>
    <row r="440" spans="2:3" ht="30" customHeight="1" x14ac:dyDescent="0.25">
      <c r="B440" s="7">
        <v>5416</v>
      </c>
      <c r="C440" s="8" t="s">
        <v>338</v>
      </c>
    </row>
    <row r="441" spans="2:3" ht="30" customHeight="1" x14ac:dyDescent="0.25">
      <c r="B441" s="7" t="s">
        <v>339</v>
      </c>
      <c r="C441" s="8" t="s">
        <v>340</v>
      </c>
    </row>
    <row r="442" spans="2:3" ht="30" customHeight="1" x14ac:dyDescent="0.25">
      <c r="B442" s="7">
        <v>5417</v>
      </c>
      <c r="C442" s="8" t="s">
        <v>341</v>
      </c>
    </row>
    <row r="443" spans="2:3" ht="30" customHeight="1" x14ac:dyDescent="0.25">
      <c r="B443" s="7" t="s">
        <v>342</v>
      </c>
      <c r="C443" s="8" t="s">
        <v>343</v>
      </c>
    </row>
    <row r="444" spans="2:3" ht="30" customHeight="1" x14ac:dyDescent="0.25">
      <c r="B444" s="7">
        <v>5418</v>
      </c>
      <c r="C444" s="8" t="s">
        <v>344</v>
      </c>
    </row>
    <row r="445" spans="2:3" ht="30" customHeight="1" x14ac:dyDescent="0.25">
      <c r="B445" s="7">
        <v>5419</v>
      </c>
      <c r="C445" s="8" t="s">
        <v>51</v>
      </c>
    </row>
    <row r="446" spans="2:3" ht="30" customHeight="1" x14ac:dyDescent="0.25">
      <c r="B446" s="7">
        <v>5420</v>
      </c>
      <c r="C446" s="8" t="s">
        <v>345</v>
      </c>
    </row>
    <row r="447" spans="2:3" ht="30" customHeight="1" x14ac:dyDescent="0.25">
      <c r="B447" s="7">
        <v>5421</v>
      </c>
      <c r="C447" s="8" t="s">
        <v>346</v>
      </c>
    </row>
    <row r="448" spans="2:3" ht="30" customHeight="1" x14ac:dyDescent="0.25">
      <c r="B448" s="7">
        <v>5422</v>
      </c>
      <c r="C448" s="8" t="s">
        <v>347</v>
      </c>
    </row>
    <row r="449" spans="2:3" ht="30" customHeight="1" x14ac:dyDescent="0.25">
      <c r="B449" s="7">
        <v>5423</v>
      </c>
      <c r="C449" s="8" t="s">
        <v>51</v>
      </c>
    </row>
    <row r="450" spans="2:3" ht="30" customHeight="1" x14ac:dyDescent="0.25">
      <c r="B450" s="7">
        <v>5424</v>
      </c>
      <c r="C450" s="8" t="s">
        <v>348</v>
      </c>
    </row>
    <row r="451" spans="2:3" ht="30" customHeight="1" x14ac:dyDescent="0.25">
      <c r="B451" s="7">
        <v>5425</v>
      </c>
      <c r="C451" s="8" t="s">
        <v>51</v>
      </c>
    </row>
    <row r="452" spans="2:3" ht="30" customHeight="1" x14ac:dyDescent="0.25">
      <c r="B452" s="7">
        <v>5426</v>
      </c>
      <c r="C452" s="8" t="s">
        <v>349</v>
      </c>
    </row>
    <row r="453" spans="2:3" ht="30" customHeight="1" x14ac:dyDescent="0.25">
      <c r="B453" s="7">
        <v>5430</v>
      </c>
      <c r="C453" s="8" t="s">
        <v>51</v>
      </c>
    </row>
    <row r="454" spans="2:3" ht="30" customHeight="1" x14ac:dyDescent="0.25">
      <c r="B454" s="7">
        <v>5431</v>
      </c>
      <c r="C454" s="8" t="s">
        <v>51</v>
      </c>
    </row>
    <row r="455" spans="2:3" ht="30" customHeight="1" x14ac:dyDescent="0.25">
      <c r="B455" s="7">
        <v>5432</v>
      </c>
      <c r="C455" s="8" t="s">
        <v>51</v>
      </c>
    </row>
    <row r="456" spans="2:3" ht="30" customHeight="1" x14ac:dyDescent="0.25">
      <c r="B456" s="7">
        <v>5433</v>
      </c>
      <c r="C456" s="8" t="s">
        <v>51</v>
      </c>
    </row>
    <row r="457" spans="2:3" ht="30" customHeight="1" x14ac:dyDescent="0.25">
      <c r="B457" s="7">
        <v>5434</v>
      </c>
      <c r="C457" s="8" t="s">
        <v>51</v>
      </c>
    </row>
    <row r="458" spans="2:3" ht="30" customHeight="1" x14ac:dyDescent="0.25">
      <c r="B458" s="7">
        <v>5435</v>
      </c>
      <c r="C458" s="8" t="s">
        <v>51</v>
      </c>
    </row>
    <row r="459" spans="2:3" ht="30" customHeight="1" x14ac:dyDescent="0.25">
      <c r="B459" s="7">
        <v>5436</v>
      </c>
      <c r="C459" s="8" t="s">
        <v>51</v>
      </c>
    </row>
    <row r="460" spans="2:3" ht="30" customHeight="1" x14ac:dyDescent="0.25">
      <c r="B460" s="7">
        <v>5440</v>
      </c>
      <c r="C460" s="8" t="s">
        <v>350</v>
      </c>
    </row>
    <row r="461" spans="2:3" ht="30" customHeight="1" x14ac:dyDescent="0.25">
      <c r="B461" s="7">
        <v>5441</v>
      </c>
      <c r="C461" s="8" t="s">
        <v>351</v>
      </c>
    </row>
    <row r="462" spans="2:3" ht="30" customHeight="1" x14ac:dyDescent="0.25">
      <c r="B462" s="7">
        <v>5442</v>
      </c>
      <c r="C462" s="8" t="s">
        <v>352</v>
      </c>
    </row>
    <row r="463" spans="2:3" ht="30" customHeight="1" x14ac:dyDescent="0.25">
      <c r="B463" s="7">
        <v>5443</v>
      </c>
      <c r="C463" s="8" t="s">
        <v>353</v>
      </c>
    </row>
    <row r="464" spans="2:3" ht="30" customHeight="1" x14ac:dyDescent="0.25">
      <c r="B464" s="7">
        <v>5444</v>
      </c>
      <c r="C464" s="8" t="s">
        <v>354</v>
      </c>
    </row>
    <row r="465" spans="2:3" ht="30" customHeight="1" x14ac:dyDescent="0.25">
      <c r="B465" s="7">
        <v>5500</v>
      </c>
      <c r="C465" s="8" t="s">
        <v>355</v>
      </c>
    </row>
    <row r="466" spans="2:3" ht="30" customHeight="1" x14ac:dyDescent="0.25">
      <c r="B466" s="7">
        <v>5510</v>
      </c>
      <c r="C466" s="8" t="s">
        <v>356</v>
      </c>
    </row>
    <row r="467" spans="2:3" ht="30" customHeight="1" x14ac:dyDescent="0.25">
      <c r="B467" s="7">
        <v>5520</v>
      </c>
      <c r="C467" s="8" t="s">
        <v>357</v>
      </c>
    </row>
    <row r="468" spans="2:3" ht="30" customHeight="1" x14ac:dyDescent="0.25">
      <c r="B468" s="7">
        <v>5521</v>
      </c>
      <c r="C468" s="8" t="s">
        <v>358</v>
      </c>
    </row>
    <row r="469" spans="2:3" ht="30" customHeight="1" x14ac:dyDescent="0.25">
      <c r="B469" s="7">
        <v>5522</v>
      </c>
      <c r="C469" s="8" t="s">
        <v>359</v>
      </c>
    </row>
    <row r="470" spans="2:3" ht="30" customHeight="1" x14ac:dyDescent="0.25">
      <c r="B470" s="7">
        <v>5523</v>
      </c>
      <c r="C470" s="8" t="s">
        <v>360</v>
      </c>
    </row>
    <row r="471" spans="2:3" ht="30" customHeight="1" x14ac:dyDescent="0.25">
      <c r="B471" s="7">
        <v>5524</v>
      </c>
      <c r="C471" s="8" t="s">
        <v>361</v>
      </c>
    </row>
    <row r="472" spans="2:3" ht="30" customHeight="1" x14ac:dyDescent="0.25">
      <c r="B472" s="7">
        <v>5530</v>
      </c>
      <c r="C472" s="8" t="s">
        <v>362</v>
      </c>
    </row>
    <row r="473" spans="2:3" ht="30" customHeight="1" x14ac:dyDescent="0.25">
      <c r="B473" s="7">
        <v>5531</v>
      </c>
      <c r="C473" s="8" t="s">
        <v>51</v>
      </c>
    </row>
    <row r="474" spans="2:3" ht="30" customHeight="1" x14ac:dyDescent="0.25">
      <c r="B474" s="7">
        <v>5532</v>
      </c>
      <c r="C474" s="8" t="s">
        <v>363</v>
      </c>
    </row>
    <row r="475" spans="2:3" ht="30" customHeight="1" x14ac:dyDescent="0.25">
      <c r="B475" s="7">
        <v>5540</v>
      </c>
      <c r="C475" s="8" t="s">
        <v>216</v>
      </c>
    </row>
    <row r="476" spans="2:3" ht="30" customHeight="1" x14ac:dyDescent="0.25">
      <c r="B476" s="7">
        <v>5550</v>
      </c>
      <c r="C476" s="8" t="s">
        <v>364</v>
      </c>
    </row>
    <row r="477" spans="2:3" ht="30" customHeight="1" x14ac:dyDescent="0.25">
      <c r="B477" s="7">
        <v>5551</v>
      </c>
      <c r="C477" s="8" t="s">
        <v>365</v>
      </c>
    </row>
    <row r="478" spans="2:3" ht="30" customHeight="1" x14ac:dyDescent="0.25">
      <c r="B478" s="7">
        <v>5552</v>
      </c>
      <c r="C478" s="8" t="s">
        <v>366</v>
      </c>
    </row>
    <row r="479" spans="2:3" ht="30" customHeight="1" x14ac:dyDescent="0.25">
      <c r="B479" s="7">
        <v>5553</v>
      </c>
      <c r="C479" s="8" t="s">
        <v>367</v>
      </c>
    </row>
    <row r="480" spans="2:3" ht="30" customHeight="1" x14ac:dyDescent="0.25">
      <c r="B480" s="7">
        <v>5554</v>
      </c>
      <c r="C480" s="8" t="s">
        <v>368</v>
      </c>
    </row>
    <row r="481" spans="2:3" ht="30" customHeight="1" x14ac:dyDescent="0.25">
      <c r="B481" s="7">
        <v>5560</v>
      </c>
      <c r="C481" s="8" t="s">
        <v>369</v>
      </c>
    </row>
    <row r="482" spans="2:3" ht="30" customHeight="1" x14ac:dyDescent="0.25">
      <c r="B482" s="7">
        <v>5561</v>
      </c>
      <c r="C482" s="8" t="s">
        <v>370</v>
      </c>
    </row>
    <row r="483" spans="2:3" ht="30" customHeight="1" x14ac:dyDescent="0.25">
      <c r="B483" s="7">
        <v>5562</v>
      </c>
      <c r="C483" s="8" t="s">
        <v>371</v>
      </c>
    </row>
    <row r="484" spans="2:3" ht="30" customHeight="1" x14ac:dyDescent="0.25">
      <c r="B484" s="7">
        <v>5563</v>
      </c>
      <c r="C484" s="8" t="s">
        <v>372</v>
      </c>
    </row>
    <row r="485" spans="2:3" ht="30" customHeight="1" x14ac:dyDescent="0.25">
      <c r="B485" s="7">
        <v>5564</v>
      </c>
      <c r="C485" s="8" t="s">
        <v>373</v>
      </c>
    </row>
    <row r="486" spans="2:3" ht="30" customHeight="1" x14ac:dyDescent="0.25">
      <c r="B486" s="7">
        <v>5565</v>
      </c>
      <c r="C486" s="8" t="s">
        <v>374</v>
      </c>
    </row>
    <row r="487" spans="2:3" ht="30" customHeight="1" x14ac:dyDescent="0.25">
      <c r="B487" s="7">
        <v>5566</v>
      </c>
      <c r="C487" s="8" t="s">
        <v>375</v>
      </c>
    </row>
    <row r="488" spans="2:3" ht="30" customHeight="1" x14ac:dyDescent="0.25">
      <c r="B488" s="7">
        <v>5567</v>
      </c>
      <c r="C488" s="8" t="s">
        <v>376</v>
      </c>
    </row>
    <row r="489" spans="2:3" ht="30" customHeight="1" x14ac:dyDescent="0.25">
      <c r="B489" s="7">
        <v>5568</v>
      </c>
      <c r="C489" s="8" t="s">
        <v>377</v>
      </c>
    </row>
    <row r="490" spans="2:3" ht="30" customHeight="1" x14ac:dyDescent="0.25">
      <c r="B490" s="7">
        <v>5570</v>
      </c>
      <c r="C490" s="8" t="s">
        <v>51</v>
      </c>
    </row>
    <row r="491" spans="2:3" ht="30" customHeight="1" x14ac:dyDescent="0.25">
      <c r="B491" s="7">
        <v>5580</v>
      </c>
      <c r="C491" s="8" t="s">
        <v>59</v>
      </c>
    </row>
    <row r="492" spans="2:3" ht="30" customHeight="1" x14ac:dyDescent="0.25">
      <c r="B492" s="7">
        <v>5590</v>
      </c>
      <c r="C492" s="8" t="s">
        <v>378</v>
      </c>
    </row>
    <row r="493" spans="2:3" ht="30" customHeight="1" x14ac:dyDescent="0.25">
      <c r="B493" s="7">
        <v>5600</v>
      </c>
      <c r="C493" s="8" t="s">
        <v>379</v>
      </c>
    </row>
    <row r="494" spans="2:3" ht="30" customHeight="1" x14ac:dyDescent="0.25">
      <c r="B494" s="7">
        <v>5700</v>
      </c>
      <c r="C494" s="8" t="s">
        <v>51</v>
      </c>
    </row>
    <row r="495" spans="2:3" ht="30" customHeight="1" x14ac:dyDescent="0.25">
      <c r="B495" s="7">
        <v>5800</v>
      </c>
      <c r="C495" s="8" t="s">
        <v>380</v>
      </c>
    </row>
    <row r="496" spans="2:3" ht="30" customHeight="1" x14ac:dyDescent="0.25">
      <c r="B496" s="7">
        <v>5810</v>
      </c>
      <c r="C496" s="8" t="s">
        <v>381</v>
      </c>
    </row>
    <row r="497" spans="2:3" ht="30" customHeight="1" x14ac:dyDescent="0.25">
      <c r="B497" s="7">
        <v>5820</v>
      </c>
      <c r="C497" s="8" t="s">
        <v>382</v>
      </c>
    </row>
    <row r="498" spans="2:3" ht="30" customHeight="1" x14ac:dyDescent="0.25">
      <c r="B498" s="7">
        <v>5821</v>
      </c>
      <c r="C498" s="8" t="s">
        <v>383</v>
      </c>
    </row>
    <row r="499" spans="2:3" ht="30" customHeight="1" x14ac:dyDescent="0.25">
      <c r="B499" s="7">
        <v>5822</v>
      </c>
      <c r="C499" s="8" t="s">
        <v>384</v>
      </c>
    </row>
    <row r="500" spans="2:3" ht="30" customHeight="1" x14ac:dyDescent="0.25">
      <c r="B500" s="7">
        <v>5823</v>
      </c>
      <c r="C500" s="8" t="s">
        <v>385</v>
      </c>
    </row>
    <row r="501" spans="2:3" ht="30" customHeight="1" x14ac:dyDescent="0.25">
      <c r="B501" s="7">
        <v>5824</v>
      </c>
      <c r="C501" s="8" t="s">
        <v>386</v>
      </c>
    </row>
    <row r="502" spans="2:3" ht="30" customHeight="1" x14ac:dyDescent="0.25">
      <c r="B502" s="7">
        <v>5830</v>
      </c>
      <c r="C502" s="8" t="s">
        <v>387</v>
      </c>
    </row>
    <row r="503" spans="2:3" ht="30" customHeight="1" x14ac:dyDescent="0.25">
      <c r="B503" s="7">
        <v>5840</v>
      </c>
      <c r="C503" s="8" t="s">
        <v>388</v>
      </c>
    </row>
    <row r="504" spans="2:3" ht="30" customHeight="1" x14ac:dyDescent="0.25">
      <c r="B504" s="7">
        <v>5900</v>
      </c>
      <c r="C504" s="8" t="s">
        <v>389</v>
      </c>
    </row>
    <row r="505" spans="2:3" ht="30" customHeight="1" x14ac:dyDescent="0.25">
      <c r="B505" s="7">
        <v>5910</v>
      </c>
      <c r="C505" s="8" t="s">
        <v>390</v>
      </c>
    </row>
    <row r="506" spans="2:3" ht="30" customHeight="1" x14ac:dyDescent="0.25">
      <c r="B506" s="7">
        <v>6000</v>
      </c>
      <c r="C506" s="8" t="s">
        <v>472</v>
      </c>
    </row>
    <row r="507" spans="2:3" ht="30" customHeight="1" x14ac:dyDescent="0.25">
      <c r="B507" s="7">
        <v>6400</v>
      </c>
      <c r="C507" s="8" t="s">
        <v>391</v>
      </c>
    </row>
    <row r="508" spans="2:3" ht="30" customHeight="1" x14ac:dyDescent="0.25">
      <c r="B508" s="7">
        <v>6410</v>
      </c>
      <c r="C508" s="8" t="s">
        <v>392</v>
      </c>
    </row>
    <row r="509" spans="2:3" ht="30" customHeight="1" x14ac:dyDescent="0.25">
      <c r="B509" s="7">
        <v>6411</v>
      </c>
      <c r="C509" s="8" t="s">
        <v>393</v>
      </c>
    </row>
    <row r="510" spans="2:3" ht="30" customHeight="1" x14ac:dyDescent="0.25">
      <c r="B510" s="7">
        <v>6412</v>
      </c>
      <c r="C510" s="8" t="s">
        <v>394</v>
      </c>
    </row>
    <row r="511" spans="2:3" ht="30" customHeight="1" x14ac:dyDescent="0.25">
      <c r="B511" s="7">
        <v>6413</v>
      </c>
      <c r="C511" s="8" t="s">
        <v>395</v>
      </c>
    </row>
    <row r="512" spans="2:3" ht="30" customHeight="1" x14ac:dyDescent="0.25">
      <c r="B512" s="7">
        <v>6414</v>
      </c>
      <c r="C512" s="8" t="s">
        <v>6</v>
      </c>
    </row>
    <row r="513" spans="2:3" ht="30" customHeight="1" x14ac:dyDescent="0.25">
      <c r="B513" s="7">
        <v>6420</v>
      </c>
      <c r="C513" s="8" t="s">
        <v>6</v>
      </c>
    </row>
    <row r="514" spans="2:3" ht="30" customHeight="1" x14ac:dyDescent="0.25">
      <c r="B514" s="7">
        <v>6430</v>
      </c>
      <c r="C514" s="8" t="s">
        <v>396</v>
      </c>
    </row>
    <row r="515" spans="2:3" ht="30" customHeight="1" x14ac:dyDescent="0.25">
      <c r="B515" s="7">
        <v>6440</v>
      </c>
      <c r="C515" s="8" t="s">
        <v>397</v>
      </c>
    </row>
    <row r="516" spans="2:3" ht="30" customHeight="1" x14ac:dyDescent="0.25">
      <c r="B516" s="7">
        <v>6441</v>
      </c>
      <c r="C516" s="8" t="s">
        <v>398</v>
      </c>
    </row>
    <row r="517" spans="2:3" ht="30" customHeight="1" x14ac:dyDescent="0.25">
      <c r="B517" s="7">
        <v>6450</v>
      </c>
      <c r="C517" s="8" t="s">
        <v>220</v>
      </c>
    </row>
    <row r="518" spans="2:3" ht="30" customHeight="1" x14ac:dyDescent="0.25">
      <c r="B518" s="7">
        <v>6460</v>
      </c>
      <c r="C518" s="8" t="s">
        <v>6</v>
      </c>
    </row>
    <row r="519" spans="2:3" ht="30" customHeight="1" x14ac:dyDescent="0.25">
      <c r="B519" s="7">
        <v>6470</v>
      </c>
      <c r="C519" s="8" t="s">
        <v>399</v>
      </c>
    </row>
    <row r="520" spans="2:3" ht="30" customHeight="1" x14ac:dyDescent="0.25">
      <c r="B520" s="7">
        <v>6480</v>
      </c>
      <c r="C520" s="8" t="s">
        <v>400</v>
      </c>
    </row>
    <row r="521" spans="2:3" ht="30" customHeight="1" x14ac:dyDescent="0.25">
      <c r="B521" s="7">
        <v>6610</v>
      </c>
      <c r="C521" s="8" t="s">
        <v>401</v>
      </c>
    </row>
    <row r="522" spans="2:3" ht="30" customHeight="1" x14ac:dyDescent="0.25">
      <c r="B522" s="7">
        <v>6910</v>
      </c>
      <c r="C522" s="8" t="s">
        <v>402</v>
      </c>
    </row>
    <row r="523" spans="2:3" ht="30" customHeight="1" x14ac:dyDescent="0.25">
      <c r="B523" s="7">
        <v>7000</v>
      </c>
      <c r="C523" s="8" t="s">
        <v>473</v>
      </c>
    </row>
    <row r="524" spans="2:3" ht="30" customHeight="1" x14ac:dyDescent="0.25">
      <c r="B524" s="7">
        <v>7100</v>
      </c>
      <c r="C524" s="8" t="s">
        <v>403</v>
      </c>
    </row>
    <row r="525" spans="2:3" ht="30" customHeight="1" x14ac:dyDescent="0.25">
      <c r="B525" s="7">
        <v>7110</v>
      </c>
      <c r="C525" s="8" t="s">
        <v>404</v>
      </c>
    </row>
    <row r="526" spans="2:3" ht="30" customHeight="1" x14ac:dyDescent="0.25">
      <c r="B526" s="7">
        <v>7111</v>
      </c>
      <c r="C526" s="8" t="s">
        <v>220</v>
      </c>
    </row>
    <row r="527" spans="2:3" ht="30" customHeight="1" x14ac:dyDescent="0.25">
      <c r="B527" s="7">
        <v>7112</v>
      </c>
      <c r="C527" s="8" t="s">
        <v>220</v>
      </c>
    </row>
    <row r="528" spans="2:3" ht="30" customHeight="1" x14ac:dyDescent="0.25">
      <c r="B528" s="7">
        <v>7113</v>
      </c>
      <c r="C528" s="8" t="s">
        <v>405</v>
      </c>
    </row>
    <row r="529" spans="2:3" ht="30" customHeight="1" x14ac:dyDescent="0.25">
      <c r="B529" s="7">
        <v>7114</v>
      </c>
      <c r="C529" s="8" t="s">
        <v>406</v>
      </c>
    </row>
    <row r="530" spans="2:3" ht="30" customHeight="1" x14ac:dyDescent="0.25">
      <c r="B530" s="7">
        <v>7120</v>
      </c>
      <c r="C530" s="8" t="s">
        <v>407</v>
      </c>
    </row>
    <row r="531" spans="2:3" ht="30" customHeight="1" x14ac:dyDescent="0.25">
      <c r="B531" s="7">
        <v>7130</v>
      </c>
      <c r="C531" s="8" t="s">
        <v>408</v>
      </c>
    </row>
    <row r="532" spans="2:3" ht="30" customHeight="1" x14ac:dyDescent="0.25">
      <c r="B532" s="7">
        <v>7140</v>
      </c>
      <c r="C532" s="8" t="s">
        <v>6</v>
      </c>
    </row>
    <row r="533" spans="2:3" ht="30" customHeight="1" x14ac:dyDescent="0.25">
      <c r="B533" s="7">
        <v>7150</v>
      </c>
      <c r="C533" s="8" t="s">
        <v>409</v>
      </c>
    </row>
    <row r="534" spans="2:3" ht="30" customHeight="1" x14ac:dyDescent="0.25">
      <c r="B534" s="7">
        <v>7161</v>
      </c>
      <c r="C534" s="8" t="s">
        <v>220</v>
      </c>
    </row>
    <row r="535" spans="2:3" ht="30" customHeight="1" x14ac:dyDescent="0.25">
      <c r="B535" s="7">
        <v>7160</v>
      </c>
      <c r="C535" s="8" t="s">
        <v>410</v>
      </c>
    </row>
    <row r="536" spans="2:3" ht="30" customHeight="1" x14ac:dyDescent="0.25">
      <c r="B536" s="7">
        <v>7180</v>
      </c>
      <c r="C536" s="8" t="s">
        <v>220</v>
      </c>
    </row>
    <row r="537" spans="2:3" ht="30" customHeight="1" x14ac:dyDescent="0.25">
      <c r="B537" s="7">
        <v>7190</v>
      </c>
      <c r="C537" s="8" t="s">
        <v>411</v>
      </c>
    </row>
    <row r="538" spans="2:3" ht="30" customHeight="1" x14ac:dyDescent="0.25">
      <c r="B538" s="7">
        <v>7191</v>
      </c>
      <c r="C538" s="8" t="s">
        <v>412</v>
      </c>
    </row>
    <row r="539" spans="2:3" ht="30" customHeight="1" x14ac:dyDescent="0.25">
      <c r="B539" s="7">
        <v>7200</v>
      </c>
      <c r="C539" s="8" t="s">
        <v>51</v>
      </c>
    </row>
    <row r="540" spans="2:3" ht="30" customHeight="1" x14ac:dyDescent="0.25">
      <c r="B540" s="7">
        <v>7400</v>
      </c>
      <c r="C540" s="8" t="s">
        <v>413</v>
      </c>
    </row>
    <row r="541" spans="2:3" ht="30" customHeight="1" x14ac:dyDescent="0.25">
      <c r="B541" s="7">
        <v>7401</v>
      </c>
      <c r="C541" s="8" t="s">
        <v>414</v>
      </c>
    </row>
    <row r="542" spans="2:3" ht="30" customHeight="1" x14ac:dyDescent="0.25">
      <c r="B542" s="7">
        <v>7402</v>
      </c>
      <c r="C542" s="8" t="s">
        <v>51</v>
      </c>
    </row>
    <row r="543" spans="2:3" ht="30" customHeight="1" x14ac:dyDescent="0.25">
      <c r="B543" s="7">
        <v>7403</v>
      </c>
      <c r="C543" s="8" t="s">
        <v>51</v>
      </c>
    </row>
    <row r="544" spans="2:3" ht="30" customHeight="1" x14ac:dyDescent="0.25">
      <c r="B544" s="7">
        <v>7404</v>
      </c>
      <c r="C544" s="8" t="s">
        <v>51</v>
      </c>
    </row>
    <row r="545" spans="2:3" ht="30" customHeight="1" x14ac:dyDescent="0.25">
      <c r="B545" s="7">
        <v>7405</v>
      </c>
      <c r="C545" s="8" t="s">
        <v>51</v>
      </c>
    </row>
    <row r="546" spans="2:3" ht="30" customHeight="1" x14ac:dyDescent="0.25">
      <c r="B546" s="7">
        <v>7406</v>
      </c>
      <c r="C546" s="8" t="s">
        <v>51</v>
      </c>
    </row>
    <row r="547" spans="2:3" ht="30" customHeight="1" x14ac:dyDescent="0.25">
      <c r="B547" s="7">
        <v>7407</v>
      </c>
      <c r="C547" s="8" t="s">
        <v>51</v>
      </c>
    </row>
    <row r="548" spans="2:3" ht="30" customHeight="1" x14ac:dyDescent="0.25">
      <c r="B548" s="7">
        <v>7408</v>
      </c>
      <c r="C548" s="8" t="s">
        <v>51</v>
      </c>
    </row>
    <row r="549" spans="2:3" ht="30" customHeight="1" x14ac:dyDescent="0.25">
      <c r="B549" s="7">
        <v>7409</v>
      </c>
      <c r="C549" s="8" t="s">
        <v>51</v>
      </c>
    </row>
    <row r="550" spans="2:3" ht="30" customHeight="1" x14ac:dyDescent="0.25">
      <c r="B550" s="7">
        <v>7410</v>
      </c>
      <c r="C550" s="8" t="s">
        <v>4</v>
      </c>
    </row>
    <row r="551" spans="2:3" ht="30" customHeight="1" x14ac:dyDescent="0.25">
      <c r="B551" s="7">
        <v>7411</v>
      </c>
      <c r="C551" s="8" t="s">
        <v>415</v>
      </c>
    </row>
    <row r="552" spans="2:3" ht="30" customHeight="1" x14ac:dyDescent="0.25">
      <c r="B552" s="7">
        <v>7412</v>
      </c>
      <c r="C552" s="8" t="s">
        <v>51</v>
      </c>
    </row>
    <row r="553" spans="2:3" ht="30" customHeight="1" x14ac:dyDescent="0.25">
      <c r="B553" s="7">
        <v>7413</v>
      </c>
      <c r="C553" s="8" t="s">
        <v>416</v>
      </c>
    </row>
    <row r="554" spans="2:3" ht="30" customHeight="1" x14ac:dyDescent="0.25">
      <c r="B554" s="7">
        <v>7420</v>
      </c>
      <c r="C554" s="8" t="s">
        <v>417</v>
      </c>
    </row>
    <row r="555" spans="2:3" ht="30" customHeight="1" x14ac:dyDescent="0.25">
      <c r="B555" s="7">
        <v>7421</v>
      </c>
      <c r="C555" s="8" t="s">
        <v>418</v>
      </c>
    </row>
    <row r="556" spans="2:3" ht="30" customHeight="1" x14ac:dyDescent="0.25">
      <c r="B556" s="7">
        <v>7422</v>
      </c>
      <c r="C556" s="8" t="s">
        <v>419</v>
      </c>
    </row>
    <row r="557" spans="2:3" ht="30" customHeight="1" x14ac:dyDescent="0.25">
      <c r="B557" s="7">
        <v>7430</v>
      </c>
      <c r="C557" s="8" t="s">
        <v>420</v>
      </c>
    </row>
    <row r="558" spans="2:3" ht="30" customHeight="1" x14ac:dyDescent="0.25">
      <c r="B558" s="7">
        <v>7440</v>
      </c>
      <c r="C558" s="8" t="s">
        <v>421</v>
      </c>
    </row>
    <row r="559" spans="2:3" ht="30" customHeight="1" x14ac:dyDescent="0.25">
      <c r="B559" s="7">
        <v>7450</v>
      </c>
      <c r="C559" s="8" t="s">
        <v>422</v>
      </c>
    </row>
    <row r="560" spans="2:3" ht="30" customHeight="1" x14ac:dyDescent="0.25">
      <c r="B560" s="7">
        <v>7460</v>
      </c>
      <c r="C560" s="8" t="s">
        <v>423</v>
      </c>
    </row>
    <row r="561" spans="2:3" ht="30" customHeight="1" x14ac:dyDescent="0.25">
      <c r="B561" s="7">
        <v>7470</v>
      </c>
      <c r="C561" s="8" t="s">
        <v>424</v>
      </c>
    </row>
    <row r="562" spans="2:3" ht="30" customHeight="1" x14ac:dyDescent="0.25">
      <c r="B562" s="7">
        <v>7481</v>
      </c>
      <c r="C562" s="8" t="s">
        <v>425</v>
      </c>
    </row>
    <row r="563" spans="2:3" ht="30" customHeight="1" x14ac:dyDescent="0.25">
      <c r="B563" s="7">
        <v>7482</v>
      </c>
      <c r="C563" s="8" t="s">
        <v>426</v>
      </c>
    </row>
    <row r="564" spans="2:3" ht="30" customHeight="1" x14ac:dyDescent="0.25">
      <c r="B564" s="7">
        <v>7500</v>
      </c>
      <c r="C564" s="8" t="s">
        <v>427</v>
      </c>
    </row>
    <row r="565" spans="2:3" ht="30" customHeight="1" x14ac:dyDescent="0.25">
      <c r="B565" s="7">
        <v>7511</v>
      </c>
      <c r="C565" s="8" t="s">
        <v>51</v>
      </c>
    </row>
    <row r="566" spans="2:3" ht="30" customHeight="1" x14ac:dyDescent="0.25">
      <c r="B566" s="7">
        <v>7512</v>
      </c>
      <c r="C566" s="8" t="s">
        <v>51</v>
      </c>
    </row>
    <row r="567" spans="2:3" ht="30" customHeight="1" x14ac:dyDescent="0.25">
      <c r="B567" s="7">
        <v>7513</v>
      </c>
      <c r="C567" s="8" t="s">
        <v>51</v>
      </c>
    </row>
    <row r="568" spans="2:3" ht="30" customHeight="1" x14ac:dyDescent="0.25">
      <c r="B568" s="7">
        <v>7514</v>
      </c>
      <c r="C568" s="8" t="s">
        <v>51</v>
      </c>
    </row>
    <row r="569" spans="2:3" ht="30" customHeight="1" x14ac:dyDescent="0.25">
      <c r="B569" s="7">
        <v>7517</v>
      </c>
      <c r="C569" s="8" t="s">
        <v>51</v>
      </c>
    </row>
    <row r="570" spans="2:3" ht="30" customHeight="1" x14ac:dyDescent="0.25">
      <c r="B570" s="7">
        <v>7518</v>
      </c>
      <c r="C570" s="8" t="s">
        <v>51</v>
      </c>
    </row>
    <row r="571" spans="2:3" ht="30" customHeight="1" x14ac:dyDescent="0.25">
      <c r="B571" s="7">
        <v>7522</v>
      </c>
      <c r="C571" s="8" t="s">
        <v>51</v>
      </c>
    </row>
    <row r="572" spans="2:3" ht="30" customHeight="1" x14ac:dyDescent="0.25">
      <c r="B572" s="7">
        <v>7531</v>
      </c>
      <c r="C572" s="8" t="s">
        <v>51</v>
      </c>
    </row>
    <row r="573" spans="2:3" ht="30" customHeight="1" x14ac:dyDescent="0.25">
      <c r="B573" s="7">
        <v>7532</v>
      </c>
      <c r="C573" s="8" t="s">
        <v>51</v>
      </c>
    </row>
    <row r="574" spans="2:3" ht="30" customHeight="1" x14ac:dyDescent="0.25">
      <c r="B574" s="7">
        <v>7533</v>
      </c>
      <c r="C574" s="8" t="s">
        <v>51</v>
      </c>
    </row>
    <row r="575" spans="2:3" ht="30" customHeight="1" x14ac:dyDescent="0.25">
      <c r="B575" s="7">
        <v>7700</v>
      </c>
      <c r="C575" s="8" t="s">
        <v>6</v>
      </c>
    </row>
    <row r="576" spans="2:3" ht="30" customHeight="1" x14ac:dyDescent="0.25">
      <c r="B576" s="7">
        <v>7701</v>
      </c>
      <c r="C576" s="8" t="s">
        <v>6</v>
      </c>
    </row>
    <row r="577" spans="2:3" ht="30" customHeight="1" x14ac:dyDescent="0.25">
      <c r="B577" s="7">
        <v>7702</v>
      </c>
      <c r="C577" s="8" t="s">
        <v>51</v>
      </c>
    </row>
    <row r="578" spans="2:3" ht="30" customHeight="1" x14ac:dyDescent="0.25">
      <c r="B578" s="7">
        <v>7703</v>
      </c>
      <c r="C578" s="8" t="s">
        <v>6</v>
      </c>
    </row>
    <row r="579" spans="2:3" ht="30" customHeight="1" x14ac:dyDescent="0.25">
      <c r="B579" s="7">
        <v>7704</v>
      </c>
      <c r="C579" s="8" t="s">
        <v>428</v>
      </c>
    </row>
    <row r="580" spans="2:3" ht="30" customHeight="1" x14ac:dyDescent="0.25">
      <c r="B580" s="7">
        <v>7705</v>
      </c>
      <c r="C580" s="8" t="s">
        <v>6</v>
      </c>
    </row>
    <row r="581" spans="2:3" ht="30" customHeight="1" x14ac:dyDescent="0.25">
      <c r="B581" s="7">
        <v>7706</v>
      </c>
      <c r="C581" s="8" t="s">
        <v>6</v>
      </c>
    </row>
    <row r="582" spans="2:3" ht="30" customHeight="1" x14ac:dyDescent="0.25">
      <c r="B582" s="7">
        <v>7707</v>
      </c>
      <c r="C582" s="8" t="s">
        <v>429</v>
      </c>
    </row>
    <row r="583" spans="2:3" ht="30" customHeight="1" x14ac:dyDescent="0.25">
      <c r="B583" s="7">
        <v>7800</v>
      </c>
      <c r="C583" s="8" t="s">
        <v>70</v>
      </c>
    </row>
    <row r="584" spans="2:3" ht="30" customHeight="1" x14ac:dyDescent="0.25">
      <c r="B584" s="7">
        <v>7812</v>
      </c>
      <c r="C584" s="8" t="s">
        <v>430</v>
      </c>
    </row>
    <row r="585" spans="2:3" ht="30" customHeight="1" x14ac:dyDescent="0.25">
      <c r="B585" s="7">
        <v>7814</v>
      </c>
      <c r="C585" s="8" t="s">
        <v>431</v>
      </c>
    </row>
    <row r="586" spans="2:3" ht="30" customHeight="1" x14ac:dyDescent="0.25">
      <c r="B586" s="7">
        <v>7815</v>
      </c>
      <c r="C586" s="8" t="s">
        <v>6</v>
      </c>
    </row>
    <row r="587" spans="2:3" ht="30" customHeight="1" x14ac:dyDescent="0.25">
      <c r="B587" s="7">
        <v>7816</v>
      </c>
      <c r="C587" s="8" t="s">
        <v>432</v>
      </c>
    </row>
    <row r="588" spans="2:3" ht="30" customHeight="1" x14ac:dyDescent="0.25">
      <c r="B588" s="7">
        <v>7817</v>
      </c>
      <c r="C588" s="8" t="s">
        <v>433</v>
      </c>
    </row>
    <row r="589" spans="2:3" ht="30" customHeight="1" x14ac:dyDescent="0.25">
      <c r="B589" s="7">
        <v>7818</v>
      </c>
      <c r="C589" s="8" t="s">
        <v>434</v>
      </c>
    </row>
    <row r="590" spans="2:3" ht="30" customHeight="1" x14ac:dyDescent="0.25">
      <c r="B590" s="7">
        <v>7819</v>
      </c>
      <c r="C590" s="8" t="s">
        <v>6</v>
      </c>
    </row>
    <row r="591" spans="2:3" ht="30" customHeight="1" x14ac:dyDescent="0.25">
      <c r="B591" s="7">
        <v>7820</v>
      </c>
      <c r="C591" s="8" t="s">
        <v>435</v>
      </c>
    </row>
    <row r="592" spans="2:3" ht="30" customHeight="1" x14ac:dyDescent="0.25">
      <c r="B592" s="7">
        <v>7821</v>
      </c>
      <c r="C592" s="8" t="s">
        <v>6</v>
      </c>
    </row>
    <row r="593" spans="2:3" ht="30" customHeight="1" x14ac:dyDescent="0.25">
      <c r="B593" s="7">
        <v>7822</v>
      </c>
      <c r="C593" s="8" t="s">
        <v>6</v>
      </c>
    </row>
    <row r="594" spans="2:3" ht="30" customHeight="1" x14ac:dyDescent="0.25">
      <c r="B594" s="7">
        <v>7823</v>
      </c>
      <c r="C594" s="8" t="s">
        <v>6</v>
      </c>
    </row>
    <row r="595" spans="2:3" ht="30" customHeight="1" x14ac:dyDescent="0.25">
      <c r="B595" s="7">
        <v>7850</v>
      </c>
      <c r="C595" s="8" t="s">
        <v>6</v>
      </c>
    </row>
    <row r="596" spans="2:3" ht="30" customHeight="1" x14ac:dyDescent="0.25">
      <c r="B596" s="7">
        <v>7851</v>
      </c>
      <c r="C596" s="8" t="s">
        <v>6</v>
      </c>
    </row>
    <row r="597" spans="2:3" ht="30" customHeight="1" x14ac:dyDescent="0.25">
      <c r="B597" s="7">
        <v>7891</v>
      </c>
      <c r="C597" s="8" t="s">
        <v>436</v>
      </c>
    </row>
    <row r="598" spans="2:3" ht="30" customHeight="1" x14ac:dyDescent="0.25">
      <c r="B598" s="7">
        <v>7910</v>
      </c>
      <c r="C598" s="8" t="s">
        <v>52</v>
      </c>
    </row>
    <row r="599" spans="2:3" ht="30" customHeight="1" x14ac:dyDescent="0.25">
      <c r="B599" s="7">
        <v>7912</v>
      </c>
      <c r="C599" s="8" t="s">
        <v>6</v>
      </c>
    </row>
    <row r="600" spans="2:3" ht="30" customHeight="1" x14ac:dyDescent="0.25">
      <c r="B600" s="7">
        <v>7913</v>
      </c>
      <c r="C600" s="8" t="s">
        <v>6</v>
      </c>
    </row>
    <row r="601" spans="2:3" ht="30" customHeight="1" x14ac:dyDescent="0.25">
      <c r="B601" s="7">
        <v>7914</v>
      </c>
      <c r="C601" s="8" t="s">
        <v>6</v>
      </c>
    </row>
    <row r="602" spans="2:3" ht="30" customHeight="1" x14ac:dyDescent="0.25">
      <c r="B602" s="7">
        <v>7915</v>
      </c>
      <c r="C602" s="8" t="s">
        <v>6</v>
      </c>
    </row>
    <row r="603" spans="2:3" ht="30" customHeight="1" x14ac:dyDescent="0.25">
      <c r="B603" s="7">
        <v>7916</v>
      </c>
      <c r="C603" s="8" t="s">
        <v>6</v>
      </c>
    </row>
    <row r="604" spans="2:3" ht="30" customHeight="1" x14ac:dyDescent="0.25">
      <c r="B604" s="7">
        <v>7917</v>
      </c>
      <c r="C604" s="8" t="s">
        <v>6</v>
      </c>
    </row>
    <row r="605" spans="2:3" ht="30" customHeight="1" x14ac:dyDescent="0.25">
      <c r="B605" s="7">
        <v>7918</v>
      </c>
      <c r="C605" s="8" t="s">
        <v>6</v>
      </c>
    </row>
    <row r="606" spans="2:3" ht="30" customHeight="1" x14ac:dyDescent="0.25">
      <c r="B606" s="7">
        <v>7940</v>
      </c>
      <c r="C606" s="8" t="s">
        <v>6</v>
      </c>
    </row>
    <row r="607" spans="2:3" ht="30" customHeight="1" x14ac:dyDescent="0.25">
      <c r="B607" s="7">
        <v>8000</v>
      </c>
      <c r="C607" s="8" t="s">
        <v>474</v>
      </c>
    </row>
    <row r="608" spans="2:3" ht="30" customHeight="1" x14ac:dyDescent="0.25">
      <c r="B608" s="7">
        <v>8151</v>
      </c>
      <c r="C608" s="8" t="s">
        <v>437</v>
      </c>
    </row>
    <row r="609" spans="2:3" ht="30" customHeight="1" x14ac:dyDescent="0.25">
      <c r="B609" s="7">
        <v>8153</v>
      </c>
      <c r="C609" s="8" t="s">
        <v>437</v>
      </c>
    </row>
    <row r="610" spans="2:3" ht="30" customHeight="1" x14ac:dyDescent="0.25">
      <c r="B610" s="7">
        <v>8161</v>
      </c>
      <c r="C610" s="8" t="s">
        <v>438</v>
      </c>
    </row>
    <row r="611" spans="2:3" ht="30" customHeight="1" x14ac:dyDescent="0.25">
      <c r="B611" s="7">
        <v>8180</v>
      </c>
      <c r="C611" s="8" t="s">
        <v>439</v>
      </c>
    </row>
    <row r="612" spans="2:3" ht="30" customHeight="1" x14ac:dyDescent="0.25">
      <c r="B612" s="7">
        <v>8307</v>
      </c>
      <c r="C612" s="8" t="s">
        <v>437</v>
      </c>
    </row>
    <row r="613" spans="2:3" ht="30" customHeight="1" x14ac:dyDescent="0.25">
      <c r="B613" s="7">
        <v>8311</v>
      </c>
      <c r="C613" s="8" t="s">
        <v>440</v>
      </c>
    </row>
    <row r="614" spans="2:3" ht="30" customHeight="1" x14ac:dyDescent="0.25">
      <c r="B614" s="7">
        <v>8312</v>
      </c>
      <c r="C614" s="8" t="s">
        <v>19</v>
      </c>
    </row>
    <row r="615" spans="2:3" ht="30" customHeight="1" x14ac:dyDescent="0.25">
      <c r="B615" s="7">
        <v>8313</v>
      </c>
      <c r="C615" s="8" t="s">
        <v>6</v>
      </c>
    </row>
    <row r="616" spans="2:3" ht="30" customHeight="1" x14ac:dyDescent="0.25">
      <c r="B616" s="7">
        <v>8314</v>
      </c>
      <c r="C616" s="8" t="s">
        <v>19</v>
      </c>
    </row>
    <row r="617" spans="2:3" ht="30" customHeight="1" x14ac:dyDescent="0.25">
      <c r="B617" s="7">
        <v>8320</v>
      </c>
      <c r="C617" s="8" t="s">
        <v>441</v>
      </c>
    </row>
    <row r="618" spans="2:3" ht="30" customHeight="1" x14ac:dyDescent="0.25">
      <c r="B618" s="7">
        <v>8330</v>
      </c>
      <c r="C618" s="8" t="s">
        <v>442</v>
      </c>
    </row>
    <row r="619" spans="2:3" ht="30" customHeight="1" x14ac:dyDescent="0.25">
      <c r="B619" s="7">
        <v>8340</v>
      </c>
      <c r="C619" s="8" t="s">
        <v>19</v>
      </c>
    </row>
    <row r="620" spans="2:3" ht="30" customHeight="1" x14ac:dyDescent="0.25">
      <c r="B620" s="7">
        <v>8350</v>
      </c>
      <c r="C620" s="8" t="s">
        <v>19</v>
      </c>
    </row>
    <row r="621" spans="2:3" ht="30" customHeight="1" x14ac:dyDescent="0.25">
      <c r="B621" s="7">
        <v>8360</v>
      </c>
      <c r="C621" s="8" t="s">
        <v>443</v>
      </c>
    </row>
    <row r="622" spans="2:3" ht="30" customHeight="1" x14ac:dyDescent="0.25">
      <c r="B622" s="7">
        <v>8361</v>
      </c>
      <c r="C622" s="8" t="s">
        <v>51</v>
      </c>
    </row>
    <row r="623" spans="2:3" ht="30" customHeight="1" x14ac:dyDescent="0.25">
      <c r="B623" s="7">
        <v>8370</v>
      </c>
      <c r="C623" s="8" t="s">
        <v>19</v>
      </c>
    </row>
    <row r="624" spans="2:3" ht="30" customHeight="1" x14ac:dyDescent="0.25">
      <c r="B624" s="7">
        <v>8380</v>
      </c>
      <c r="C624" s="8" t="s">
        <v>444</v>
      </c>
    </row>
    <row r="625" spans="2:3" ht="30" customHeight="1" x14ac:dyDescent="0.25">
      <c r="B625" s="7">
        <v>8381</v>
      </c>
      <c r="C625" s="8" t="s">
        <v>437</v>
      </c>
    </row>
    <row r="626" spans="2:3" ht="30" customHeight="1" x14ac:dyDescent="0.25">
      <c r="B626" s="7">
        <v>8384</v>
      </c>
      <c r="C626" s="8" t="s">
        <v>444</v>
      </c>
    </row>
    <row r="627" spans="2:3" ht="30" customHeight="1" x14ac:dyDescent="0.25">
      <c r="B627" s="7">
        <v>8385</v>
      </c>
      <c r="C627" s="8" t="s">
        <v>444</v>
      </c>
    </row>
    <row r="628" spans="2:3" ht="30" customHeight="1" x14ac:dyDescent="0.25">
      <c r="B628" s="7">
        <v>8386</v>
      </c>
      <c r="C628" s="8" t="s">
        <v>445</v>
      </c>
    </row>
    <row r="629" spans="2:3" ht="30" customHeight="1" x14ac:dyDescent="0.25">
      <c r="B629" s="7">
        <v>8387</v>
      </c>
      <c r="C629" s="8" t="s">
        <v>446</v>
      </c>
    </row>
    <row r="630" spans="2:3" ht="30" customHeight="1" x14ac:dyDescent="0.25">
      <c r="B630" s="7">
        <v>8388</v>
      </c>
      <c r="C630" s="8" t="s">
        <v>447</v>
      </c>
    </row>
    <row r="631" spans="2:3" ht="30" customHeight="1" x14ac:dyDescent="0.25">
      <c r="B631" s="7">
        <v>8501</v>
      </c>
      <c r="C631" s="8" t="s">
        <v>19</v>
      </c>
    </row>
    <row r="632" spans="2:3" ht="30" customHeight="1" x14ac:dyDescent="0.25">
      <c r="B632" s="7">
        <v>8502</v>
      </c>
      <c r="C632" s="8" t="s">
        <v>19</v>
      </c>
    </row>
    <row r="633" spans="2:3" ht="30" customHeight="1" x14ac:dyDescent="0.25">
      <c r="B633" s="7">
        <v>8510</v>
      </c>
      <c r="C633" s="8" t="s">
        <v>51</v>
      </c>
    </row>
    <row r="634" spans="2:3" ht="30" customHeight="1" x14ac:dyDescent="0.25">
      <c r="B634" s="7">
        <v>8511</v>
      </c>
      <c r="C634" s="8" t="s">
        <v>51</v>
      </c>
    </row>
    <row r="635" spans="2:3" ht="30" customHeight="1" x14ac:dyDescent="0.25">
      <c r="B635" s="7">
        <v>8512</v>
      </c>
      <c r="C635" s="8" t="s">
        <v>51</v>
      </c>
    </row>
    <row r="636" spans="2:3" ht="30" customHeight="1" x14ac:dyDescent="0.25">
      <c r="B636" s="7">
        <v>8513</v>
      </c>
      <c r="C636" s="8" t="s">
        <v>51</v>
      </c>
    </row>
    <row r="637" spans="2:3" ht="30" customHeight="1" x14ac:dyDescent="0.25">
      <c r="B637" s="7">
        <v>8520</v>
      </c>
      <c r="C637" s="8" t="s">
        <v>19</v>
      </c>
    </row>
    <row r="638" spans="2:3" ht="30" customHeight="1" x14ac:dyDescent="0.25">
      <c r="B638" s="7">
        <v>8530</v>
      </c>
      <c r="C638" s="8" t="s">
        <v>19</v>
      </c>
    </row>
    <row r="639" spans="2:3" ht="30" customHeight="1" x14ac:dyDescent="0.25">
      <c r="B639" s="7">
        <v>8701</v>
      </c>
      <c r="C639" s="8" t="s">
        <v>448</v>
      </c>
    </row>
    <row r="640" spans="2:3" ht="30" customHeight="1" x14ac:dyDescent="0.25">
      <c r="B640" s="7">
        <v>8702</v>
      </c>
      <c r="C640" s="8" t="s">
        <v>166</v>
      </c>
    </row>
    <row r="641" spans="2:3" ht="30" customHeight="1" x14ac:dyDescent="0.25">
      <c r="B641" s="7">
        <v>8703</v>
      </c>
      <c r="C641" s="8" t="s">
        <v>449</v>
      </c>
    </row>
    <row r="642" spans="2:3" ht="30" customHeight="1" x14ac:dyDescent="0.25">
      <c r="B642" s="7">
        <v>8704</v>
      </c>
      <c r="C642" s="8" t="s">
        <v>60</v>
      </c>
    </row>
    <row r="643" spans="2:3" ht="30" customHeight="1" x14ac:dyDescent="0.25">
      <c r="B643" s="7">
        <v>8705</v>
      </c>
      <c r="C643" s="8" t="s">
        <v>164</v>
      </c>
    </row>
    <row r="644" spans="2:3" ht="30" customHeight="1" x14ac:dyDescent="0.25">
      <c r="B644" s="7">
        <v>8706</v>
      </c>
      <c r="C644" s="8" t="s">
        <v>450</v>
      </c>
    </row>
    <row r="645" spans="2:3" ht="30" customHeight="1" x14ac:dyDescent="0.25">
      <c r="B645" s="7">
        <v>8708</v>
      </c>
      <c r="C645" s="8" t="s">
        <v>19</v>
      </c>
    </row>
    <row r="646" spans="2:3" ht="30" customHeight="1" x14ac:dyDescent="0.25">
      <c r="B646" s="7">
        <v>8709</v>
      </c>
      <c r="C646" s="8" t="s">
        <v>51</v>
      </c>
    </row>
    <row r="647" spans="2:3" ht="30" customHeight="1" x14ac:dyDescent="0.25">
      <c r="B647" s="7">
        <v>8710</v>
      </c>
      <c r="C647" s="8" t="s">
        <v>51</v>
      </c>
    </row>
    <row r="648" spans="2:3" ht="30" customHeight="1" x14ac:dyDescent="0.25">
      <c r="B648" s="7">
        <v>8711</v>
      </c>
      <c r="C648" s="8" t="s">
        <v>51</v>
      </c>
    </row>
    <row r="649" spans="2:3" ht="30" customHeight="1" x14ac:dyDescent="0.25">
      <c r="B649" s="7">
        <v>8720</v>
      </c>
      <c r="C649" s="8" t="s">
        <v>51</v>
      </c>
    </row>
    <row r="650" spans="2:3" ht="30" customHeight="1" x14ac:dyDescent="0.25">
      <c r="B650" s="7">
        <v>8820</v>
      </c>
      <c r="C650" s="8" t="s">
        <v>173</v>
      </c>
    </row>
    <row r="651" spans="2:3" ht="30" customHeight="1" x14ac:dyDescent="0.25">
      <c r="B651" s="7">
        <v>8830</v>
      </c>
      <c r="C651" s="8" t="s">
        <v>451</v>
      </c>
    </row>
    <row r="652" spans="2:3" ht="30" customHeight="1" x14ac:dyDescent="0.25">
      <c r="B652" s="7">
        <v>8840</v>
      </c>
      <c r="C652" s="8" t="s">
        <v>6</v>
      </c>
    </row>
    <row r="653" spans="2:3" ht="30" customHeight="1" x14ac:dyDescent="0.25">
      <c r="B653" s="7">
        <v>8850</v>
      </c>
      <c r="C653" s="8" t="s">
        <v>19</v>
      </c>
    </row>
    <row r="654" spans="2:3" ht="30" customHeight="1" x14ac:dyDescent="0.25">
      <c r="B654" s="7">
        <v>8860</v>
      </c>
      <c r="C654" s="8" t="s">
        <v>452</v>
      </c>
    </row>
    <row r="655" spans="2:3" ht="30" customHeight="1" x14ac:dyDescent="0.25">
      <c r="B655" s="7">
        <v>8910</v>
      </c>
      <c r="C655" s="8" t="s">
        <v>52</v>
      </c>
    </row>
    <row r="656" spans="2:3" ht="30" customHeight="1" x14ac:dyDescent="0.25">
      <c r="B656" s="7">
        <v>9000</v>
      </c>
      <c r="C656" s="8" t="s">
        <v>475</v>
      </c>
    </row>
    <row r="657" spans="2:3" ht="30" customHeight="1" x14ac:dyDescent="0.25">
      <c r="B657" s="7">
        <v>9701</v>
      </c>
      <c r="C657" s="8" t="s">
        <v>453</v>
      </c>
    </row>
    <row r="658" spans="2:3" ht="30" customHeight="1" x14ac:dyDescent="0.25">
      <c r="B658" s="7">
        <v>9800</v>
      </c>
      <c r="C658" s="8" t="s">
        <v>475</v>
      </c>
    </row>
    <row r="659" spans="2:3" ht="30" customHeight="1" x14ac:dyDescent="0.25">
      <c r="B659" s="7">
        <v>9801</v>
      </c>
      <c r="C659" s="8" t="s">
        <v>454</v>
      </c>
    </row>
    <row r="660" spans="2:3" ht="30" customHeight="1" x14ac:dyDescent="0.25">
      <c r="B660" s="7">
        <v>9802</v>
      </c>
      <c r="C660" s="8" t="s">
        <v>455</v>
      </c>
    </row>
    <row r="661" spans="2:3" ht="30" customHeight="1" x14ac:dyDescent="0.25">
      <c r="B661" s="7">
        <v>9803</v>
      </c>
      <c r="C661" s="8" t="s">
        <v>456</v>
      </c>
    </row>
    <row r="662" spans="2:3" ht="30" customHeight="1" x14ac:dyDescent="0.25">
      <c r="B662" s="7">
        <v>9804</v>
      </c>
      <c r="C662" s="8" t="s">
        <v>54</v>
      </c>
    </row>
    <row r="663" spans="2:3" ht="30" customHeight="1" x14ac:dyDescent="0.25">
      <c r="B663" s="7">
        <v>9805</v>
      </c>
      <c r="C663" s="8" t="s">
        <v>457</v>
      </c>
    </row>
    <row r="664" spans="2:3" ht="30" customHeight="1" x14ac:dyDescent="0.25">
      <c r="B664" s="7">
        <v>9806</v>
      </c>
      <c r="C664" s="8" t="s">
        <v>458</v>
      </c>
    </row>
    <row r="665" spans="2:3" ht="30" customHeight="1" x14ac:dyDescent="0.25">
      <c r="B665" s="7">
        <v>9807</v>
      </c>
      <c r="C665" s="8" t="s">
        <v>459</v>
      </c>
    </row>
    <row r="666" spans="2:3" ht="30" customHeight="1" x14ac:dyDescent="0.25">
      <c r="B666" s="7">
        <v>9808</v>
      </c>
      <c r="C666" s="8" t="s">
        <v>460</v>
      </c>
    </row>
    <row r="667" spans="2:3" ht="30" customHeight="1" x14ac:dyDescent="0.25">
      <c r="B667" s="7">
        <v>9809</v>
      </c>
      <c r="C667" s="8" t="s">
        <v>461</v>
      </c>
    </row>
    <row r="668" spans="2:3" ht="30" customHeight="1" x14ac:dyDescent="0.25">
      <c r="B668" s="7">
        <v>9810</v>
      </c>
      <c r="C668" s="8" t="s">
        <v>19</v>
      </c>
    </row>
    <row r="669" spans="2:3" ht="30" customHeight="1" x14ac:dyDescent="0.25">
      <c r="B669" s="7">
        <v>9812</v>
      </c>
      <c r="C669" s="8" t="s">
        <v>462</v>
      </c>
    </row>
    <row r="670" spans="2:3" ht="30" customHeight="1" x14ac:dyDescent="0.25">
      <c r="B670" s="7">
        <v>9817</v>
      </c>
      <c r="C670" s="8" t="s">
        <v>463</v>
      </c>
    </row>
    <row r="671" spans="2:3" ht="30" customHeight="1" x14ac:dyDescent="0.25">
      <c r="B671" s="7">
        <v>9830</v>
      </c>
      <c r="C671" s="8" t="s">
        <v>464</v>
      </c>
    </row>
    <row r="672" spans="2:3" ht="30" customHeight="1" x14ac:dyDescent="0.25">
      <c r="B672" s="7">
        <v>9831</v>
      </c>
      <c r="C672" s="8" t="s">
        <v>465</v>
      </c>
    </row>
    <row r="673" spans="2:3" ht="30" customHeight="1" x14ac:dyDescent="0.25">
      <c r="B673" s="7">
        <v>9832</v>
      </c>
      <c r="C673" s="8" t="s">
        <v>466</v>
      </c>
    </row>
    <row r="674" spans="2:3" ht="30" customHeight="1" x14ac:dyDescent="0.25">
      <c r="B674" s="7">
        <v>9851</v>
      </c>
      <c r="C674" s="8" t="s">
        <v>467</v>
      </c>
    </row>
    <row r="675" spans="2:3" ht="30" customHeight="1" thickBot="1" x14ac:dyDescent="0.3">
      <c r="B675" s="9">
        <v>9910</v>
      </c>
      <c r="C675" s="10" t="s">
        <v>52</v>
      </c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</sheetData>
  <autoFilter ref="B3:C675" xr:uid="{AE58DAD3-7529-4FE3-BCA0-DD0F5C5D665B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6B39F-14E0-48F2-955F-A9E80CB7A0A5}">
  <sheetPr codeName="Planilha4"/>
  <dimension ref="A1:G29"/>
  <sheetViews>
    <sheetView topLeftCell="A7" workbookViewId="0">
      <selection activeCell="G18" sqref="G18"/>
    </sheetView>
  </sheetViews>
  <sheetFormatPr defaultRowHeight="15" x14ac:dyDescent="0.25"/>
  <cols>
    <col min="1" max="1" width="55.42578125" bestFit="1" customWidth="1"/>
    <col min="2" max="2" width="10.140625" customWidth="1"/>
    <col min="3" max="3" width="16.7109375" bestFit="1" customWidth="1"/>
    <col min="4" max="4" width="21.85546875" customWidth="1"/>
    <col min="5" max="5" width="14.28515625" customWidth="1"/>
    <col min="6" max="6" width="19.85546875" bestFit="1" customWidth="1"/>
    <col min="7" max="7" width="22.85546875" bestFit="1" customWidth="1"/>
  </cols>
  <sheetData>
    <row r="1" spans="1:7" x14ac:dyDescent="0.25">
      <c r="A1" s="13" t="s">
        <v>484</v>
      </c>
      <c r="B1" t="s">
        <v>485</v>
      </c>
      <c r="C1" s="13" t="s">
        <v>486</v>
      </c>
      <c r="D1" s="16" t="s">
        <v>538</v>
      </c>
      <c r="E1" s="17" t="s">
        <v>539</v>
      </c>
      <c r="F1" s="16" t="s">
        <v>540</v>
      </c>
      <c r="G1" s="17" t="s">
        <v>541</v>
      </c>
    </row>
    <row r="2" spans="1:7" x14ac:dyDescent="0.25">
      <c r="A2" t="s">
        <v>514</v>
      </c>
      <c r="B2" s="14" t="s">
        <v>487</v>
      </c>
      <c r="C2" s="15">
        <v>93.304067930797274</v>
      </c>
      <c r="D2">
        <v>0</v>
      </c>
      <c r="E2">
        <v>0</v>
      </c>
    </row>
    <row r="3" spans="1:7" x14ac:dyDescent="0.25">
      <c r="A3" t="s">
        <v>513</v>
      </c>
      <c r="B3" s="14" t="s">
        <v>487</v>
      </c>
      <c r="C3" s="15">
        <v>93.304067930797274</v>
      </c>
      <c r="D3">
        <v>0</v>
      </c>
      <c r="E3">
        <v>0</v>
      </c>
    </row>
    <row r="4" spans="1:7" x14ac:dyDescent="0.25">
      <c r="A4" t="s">
        <v>515</v>
      </c>
      <c r="B4" s="14" t="s">
        <v>487</v>
      </c>
      <c r="C4" s="15">
        <v>93.304067930797274</v>
      </c>
      <c r="D4">
        <v>0</v>
      </c>
      <c r="E4">
        <v>0</v>
      </c>
    </row>
    <row r="5" spans="1:7" x14ac:dyDescent="0.25">
      <c r="A5" t="s">
        <v>516</v>
      </c>
      <c r="B5" s="14" t="s">
        <v>487</v>
      </c>
      <c r="C5" s="15">
        <v>93.304067930797274</v>
      </c>
      <c r="D5">
        <v>0</v>
      </c>
      <c r="E5">
        <v>0</v>
      </c>
    </row>
    <row r="6" spans="1:7" x14ac:dyDescent="0.25">
      <c r="A6" s="14" t="s">
        <v>517</v>
      </c>
      <c r="B6" s="14" t="s">
        <v>488</v>
      </c>
      <c r="C6" s="15">
        <v>16.887</v>
      </c>
      <c r="D6">
        <v>23000007</v>
      </c>
      <c r="E6">
        <v>0.08</v>
      </c>
    </row>
    <row r="7" spans="1:7" x14ac:dyDescent="0.25">
      <c r="A7" s="14" t="s">
        <v>489</v>
      </c>
      <c r="B7" s="14" t="s">
        <v>490</v>
      </c>
      <c r="C7" s="15">
        <v>16.018999999999998</v>
      </c>
      <c r="D7">
        <v>23000007</v>
      </c>
      <c r="E7">
        <v>0.08</v>
      </c>
    </row>
    <row r="8" spans="1:7" x14ac:dyDescent="0.25">
      <c r="A8" s="14" t="s">
        <v>518</v>
      </c>
      <c r="B8" s="14" t="s">
        <v>491</v>
      </c>
      <c r="C8" s="15">
        <v>16.872</v>
      </c>
      <c r="D8">
        <v>23000007</v>
      </c>
      <c r="E8">
        <v>0.08</v>
      </c>
    </row>
    <row r="9" spans="1:7" x14ac:dyDescent="0.25">
      <c r="A9" s="14" t="s">
        <v>519</v>
      </c>
      <c r="B9" s="14" t="s">
        <v>492</v>
      </c>
      <c r="C9" s="15">
        <v>16.8796</v>
      </c>
      <c r="D9">
        <v>23000004</v>
      </c>
      <c r="E9">
        <v>0.15</v>
      </c>
    </row>
    <row r="10" spans="1:7" x14ac:dyDescent="0.25">
      <c r="A10" s="14" t="s">
        <v>520</v>
      </c>
      <c r="B10" s="14" t="s">
        <v>493</v>
      </c>
      <c r="C10" s="15">
        <v>17.312874999999998</v>
      </c>
      <c r="D10">
        <v>23000004</v>
      </c>
      <c r="E10">
        <v>0.15</v>
      </c>
    </row>
    <row r="11" spans="1:7" x14ac:dyDescent="0.25">
      <c r="A11" s="14" t="s">
        <v>521</v>
      </c>
      <c r="B11" s="14" t="s">
        <v>494</v>
      </c>
      <c r="C11" s="15">
        <v>17.875499999999999</v>
      </c>
      <c r="D11">
        <v>0</v>
      </c>
      <c r="E11">
        <v>0</v>
      </c>
    </row>
    <row r="12" spans="1:7" x14ac:dyDescent="0.25">
      <c r="A12" s="14" t="s">
        <v>522</v>
      </c>
      <c r="B12" s="14" t="s">
        <v>495</v>
      </c>
      <c r="C12" s="15">
        <v>17.875499999999999</v>
      </c>
      <c r="D12">
        <v>0</v>
      </c>
      <c r="E12">
        <v>0</v>
      </c>
    </row>
    <row r="13" spans="1:7" x14ac:dyDescent="0.25">
      <c r="A13" s="14" t="s">
        <v>523</v>
      </c>
      <c r="B13" s="14" t="s">
        <v>496</v>
      </c>
      <c r="C13" s="15">
        <v>16.407499999999999</v>
      </c>
      <c r="D13">
        <v>0</v>
      </c>
      <c r="E13">
        <v>0</v>
      </c>
    </row>
    <row r="14" spans="1:7" x14ac:dyDescent="0.25">
      <c r="A14" s="14" t="s">
        <v>530</v>
      </c>
      <c r="B14" s="14" t="s">
        <v>497</v>
      </c>
      <c r="C14" s="15">
        <v>16.407499999999999</v>
      </c>
      <c r="D14">
        <v>0</v>
      </c>
      <c r="E14">
        <v>0</v>
      </c>
    </row>
    <row r="15" spans="1:7" x14ac:dyDescent="0.25">
      <c r="A15" s="14" t="s">
        <v>531</v>
      </c>
      <c r="B15" s="14" t="s">
        <v>498</v>
      </c>
      <c r="C15" s="15">
        <v>20.251999999999999</v>
      </c>
      <c r="D15">
        <v>0</v>
      </c>
      <c r="E15">
        <v>0</v>
      </c>
    </row>
    <row r="16" spans="1:7" x14ac:dyDescent="0.25">
      <c r="A16" s="14" t="s">
        <v>524</v>
      </c>
      <c r="B16" s="14" t="s">
        <v>499</v>
      </c>
      <c r="C16" s="15">
        <v>18.667200000000001</v>
      </c>
      <c r="D16">
        <v>23000004</v>
      </c>
      <c r="E16">
        <v>0.15</v>
      </c>
    </row>
    <row r="17" spans="1:7" x14ac:dyDescent="0.25">
      <c r="A17" s="14" t="s">
        <v>532</v>
      </c>
      <c r="B17" s="14" t="s">
        <v>500</v>
      </c>
      <c r="C17" s="15">
        <v>19.738</v>
      </c>
      <c r="D17">
        <v>23000004</v>
      </c>
      <c r="E17">
        <v>0.15</v>
      </c>
    </row>
    <row r="18" spans="1:7" x14ac:dyDescent="0.25">
      <c r="A18" s="14" t="s">
        <v>533</v>
      </c>
      <c r="B18" s="14" t="s">
        <v>501</v>
      </c>
      <c r="C18" s="15">
        <v>19.6098</v>
      </c>
      <c r="D18">
        <v>23000004</v>
      </c>
      <c r="E18">
        <v>0.15</v>
      </c>
    </row>
    <row r="19" spans="1:7" x14ac:dyDescent="0.25">
      <c r="A19" s="14" t="s">
        <v>536</v>
      </c>
      <c r="B19" s="14" t="s">
        <v>502</v>
      </c>
      <c r="C19" s="15">
        <v>18.387699999999999</v>
      </c>
      <c r="D19">
        <v>23000004</v>
      </c>
      <c r="E19">
        <v>0.15</v>
      </c>
    </row>
    <row r="20" spans="1:7" x14ac:dyDescent="0.25">
      <c r="A20" s="14" t="s">
        <v>537</v>
      </c>
      <c r="B20" s="14" t="s">
        <v>503</v>
      </c>
      <c r="C20" s="15">
        <v>18.514199999999999</v>
      </c>
      <c r="D20">
        <v>23000004</v>
      </c>
      <c r="E20">
        <v>0.15</v>
      </c>
    </row>
    <row r="21" spans="1:7" x14ac:dyDescent="0.25">
      <c r="A21" s="14" t="s">
        <v>525</v>
      </c>
      <c r="B21" s="14" t="s">
        <v>504</v>
      </c>
      <c r="C21" s="15">
        <v>16.872</v>
      </c>
      <c r="D21">
        <v>23000004</v>
      </c>
      <c r="E21">
        <v>0.15</v>
      </c>
      <c r="F21" s="16">
        <v>23000188</v>
      </c>
      <c r="G21" s="17">
        <v>7463.61</v>
      </c>
    </row>
    <row r="22" spans="1:7" x14ac:dyDescent="0.25">
      <c r="A22" s="14" t="s">
        <v>529</v>
      </c>
      <c r="B22" s="14" t="s">
        <v>505</v>
      </c>
      <c r="C22" s="15">
        <v>16.887</v>
      </c>
      <c r="D22">
        <v>23000004</v>
      </c>
      <c r="E22">
        <v>0.15</v>
      </c>
      <c r="F22" s="16">
        <v>23000188</v>
      </c>
      <c r="G22" s="17">
        <v>7463.61</v>
      </c>
    </row>
    <row r="23" spans="1:7" x14ac:dyDescent="0.25">
      <c r="A23" s="14" t="s">
        <v>534</v>
      </c>
      <c r="B23" s="14" t="s">
        <v>506</v>
      </c>
      <c r="C23" s="15">
        <v>30.75</v>
      </c>
      <c r="D23">
        <v>0</v>
      </c>
      <c r="E23">
        <v>0</v>
      </c>
    </row>
    <row r="24" spans="1:7" x14ac:dyDescent="0.25">
      <c r="A24" s="14" t="s">
        <v>535</v>
      </c>
      <c r="B24" s="14" t="s">
        <v>507</v>
      </c>
      <c r="C24" s="15">
        <v>30.885150000000003</v>
      </c>
      <c r="D24">
        <v>0</v>
      </c>
      <c r="E24">
        <v>0</v>
      </c>
    </row>
    <row r="25" spans="1:7" x14ac:dyDescent="0.25">
      <c r="A25" s="14" t="s">
        <v>526</v>
      </c>
      <c r="B25" s="14" t="s">
        <v>508</v>
      </c>
      <c r="C25" s="15">
        <v>25.555</v>
      </c>
      <c r="D25">
        <v>0</v>
      </c>
      <c r="E25">
        <v>0</v>
      </c>
    </row>
    <row r="26" spans="1:7" x14ac:dyDescent="0.25">
      <c r="A26" s="14" t="s">
        <v>553</v>
      </c>
      <c r="B26" s="14" t="s">
        <v>509</v>
      </c>
      <c r="C26" s="15">
        <v>21.853999999999999</v>
      </c>
      <c r="D26">
        <v>0</v>
      </c>
      <c r="E26">
        <v>0</v>
      </c>
    </row>
    <row r="27" spans="1:7" x14ac:dyDescent="0.25">
      <c r="A27" s="14" t="s">
        <v>554</v>
      </c>
      <c r="B27" s="14" t="s">
        <v>510</v>
      </c>
      <c r="C27" s="15">
        <v>19.065000000000001</v>
      </c>
      <c r="D27">
        <v>0</v>
      </c>
      <c r="E27">
        <v>0</v>
      </c>
    </row>
    <row r="28" spans="1:7" x14ac:dyDescent="0.25">
      <c r="A28" s="14" t="s">
        <v>527</v>
      </c>
      <c r="B28" s="14" t="s">
        <v>511</v>
      </c>
      <c r="C28" s="15">
        <v>19.7178</v>
      </c>
      <c r="D28">
        <v>23000004</v>
      </c>
      <c r="E28">
        <v>0.15</v>
      </c>
    </row>
    <row r="29" spans="1:7" x14ac:dyDescent="0.25">
      <c r="A29" s="14" t="s">
        <v>528</v>
      </c>
      <c r="B29" s="14" t="s">
        <v>512</v>
      </c>
      <c r="C29" s="15">
        <v>19.783100000000001</v>
      </c>
      <c r="D29">
        <v>23000004</v>
      </c>
      <c r="E29">
        <v>0.15</v>
      </c>
    </row>
  </sheetData>
  <conditionalFormatting sqref="B6:B29">
    <cfRule type="duplicateValues" dxfId="0" priority="2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temp</vt:lpstr>
      <vt:lpstr>Home</vt:lpstr>
      <vt:lpstr>Glossario</vt:lpstr>
      <vt:lpstr>referencia</vt:lpstr>
      <vt:lpstr>Glossario!Area_de_impressao</vt:lpstr>
      <vt:lpstr>Disciplinas</vt:lpstr>
      <vt:lpstr>estado</vt:lpstr>
      <vt:lpstr>serv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Thomaz Duarte</dc:creator>
  <cp:lastModifiedBy>Lucas Thomaz Duarte</cp:lastModifiedBy>
  <cp:lastPrinted>2025-05-29T17:39:54Z</cp:lastPrinted>
  <dcterms:created xsi:type="dcterms:W3CDTF">2015-06-05T18:19:34Z</dcterms:created>
  <dcterms:modified xsi:type="dcterms:W3CDTF">2025-06-27T18:13:08Z</dcterms:modified>
</cp:coreProperties>
</file>